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Теплицы" sheetId="2" state="visible" r:id="rId2"/>
    <sheet name="Джерси+птица" sheetId="3" state="visible" r:id="rId3"/>
    <sheet name="Смеш.ферма" sheetId="4" state="visible" r:id="rId4"/>
    <sheet name="Земля Томск" sheetId="5" state="visible" r:id="rId5"/>
    <sheet name="Источни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 \₽"/>
    <numFmt numFmtId="165" formatCode="0.0%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0000CC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164" fontId="0" fillId="0" borderId="0" pivotButton="0" quotePrefix="0" xfId="0"/>
    <xf numFmtId="166" fontId="0" fillId="0" borderId="0" pivotButton="0" quotePrefix="0" xfId="0"/>
    <xf numFmtId="164" fontId="0" fillId="6" borderId="0" pivotButton="0" quotePrefix="0" xfId="0"/>
    <xf numFmtId="165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164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165" fontId="2" fillId="0" borderId="0" pivotButton="0" quotePrefix="0" xfId="0"/>
    <xf numFmtId="164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>СРАВНЕНИЕ ПРОФИЛЕЙ (база; схема «Грант КФХ»)</t>
        </is>
      </c>
    </row>
    <row r="2">
      <c r="A2" s="2" t="inlineStr">
        <is>
          <t>Профиль</t>
        </is>
      </c>
      <c r="B2" s="2" t="inlineStr">
        <is>
          <t>CAPEX</t>
        </is>
      </c>
      <c r="C2" s="2" t="inlineStr">
        <is>
          <t>Выручка/год</t>
        </is>
      </c>
      <c r="D2" s="2" t="inlineStr">
        <is>
          <t>OPEX/год</t>
        </is>
      </c>
      <c r="E2" s="2" t="inlineStr">
        <is>
          <t>EBITDA/год</t>
        </is>
      </c>
      <c r="F2" s="2" t="inlineStr">
        <is>
          <t>Окуп., лет</t>
        </is>
      </c>
      <c r="G2" s="2" t="inlineStr">
        <is>
          <t>NPV (грант)</t>
        </is>
      </c>
      <c r="H2" s="2" t="inlineStr">
        <is>
          <t>IRR (грант)</t>
        </is>
      </c>
    </row>
    <row r="3">
      <c r="A3" t="inlineStr">
        <is>
          <t>Теплицы (круглогодично) + 2 сотрудника</t>
        </is>
      </c>
      <c r="B3" s="3" t="n">
        <v>14410000</v>
      </c>
      <c r="C3" s="3" t="n">
        <v>3850000</v>
      </c>
      <c r="D3" s="3" t="n">
        <v>3035600</v>
      </c>
      <c r="E3" s="3" t="n">
        <v>814400</v>
      </c>
      <c r="F3" s="4" t="n">
        <v>9.473947985158409</v>
      </c>
      <c r="G3" s="5" t="n">
        <v>-5213379</v>
      </c>
      <c r="H3" s="6" t="n">
        <v>0.01184141004341651</v>
      </c>
    </row>
    <row r="4">
      <c r="A4" t="inlineStr">
        <is>
          <t>5 джерси + куры (мясо и яйцо)</t>
        </is>
      </c>
      <c r="B4" s="3" t="n">
        <v>13893000</v>
      </c>
      <c r="C4" s="3" t="n">
        <v>2314600</v>
      </c>
      <c r="D4" s="3" t="n">
        <v>1410000</v>
      </c>
      <c r="E4" s="3" t="n">
        <v>904600</v>
      </c>
      <c r="F4" s="4" t="n">
        <v>8.351914688782148</v>
      </c>
      <c r="G4" s="5" t="n">
        <v>-4231576</v>
      </c>
      <c r="H4" s="6" t="n">
        <v>0.04058413827442561</v>
      </c>
    </row>
    <row r="5">
      <c r="A5" t="inlineStr">
        <is>
          <t>Смешанная ферма (5 обычных коров + огород)</t>
        </is>
      </c>
      <c r="B5" s="3" t="n">
        <v>12188000</v>
      </c>
      <c r="C5" s="3" t="n">
        <v>1880800</v>
      </c>
      <c r="D5" s="3" t="n">
        <v>530000</v>
      </c>
      <c r="E5" s="3" t="n">
        <v>1350800</v>
      </c>
      <c r="F5" s="4" t="n">
        <v>5.017825847182428</v>
      </c>
      <c r="G5" s="5" t="n">
        <v>-227297</v>
      </c>
      <c r="H5" s="6" t="n">
        <v>0.171889394603204</v>
      </c>
    </row>
    <row r="7">
      <c r="A7" t="inlineStr">
        <is>
          <t>Внимание: во все профили включён жилой дом (~1.8–5.5 млн ₽) — это личный актив, он раздувает CAPEX и ухудшает NPV «бизнеса». Для чистой бизнес-оценки вынесите дом.</t>
        </is>
      </c>
    </row>
    <row r="9">
      <c r="A9" t="inlineStr">
        <is>
          <t>Полный прогноз (пессим/база/оптим) и денежные потоки — на листах профилей.</t>
        </is>
      </c>
    </row>
  </sheetData>
  <mergeCells count="3">
    <mergeCell ref="A1:G1"/>
    <mergeCell ref="A7:G7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</cols>
  <sheetData>
    <row r="1" ht="26" customHeight="1">
      <c r="A1" s="1" t="inlineStr">
        <is>
          <t>Теплицы (круглогодично) + 2 сотрудника</t>
        </is>
      </c>
    </row>
    <row r="2">
      <c r="A2" s="7" t="inlineStr">
        <is>
          <t>CAPEX (разовые вложения)</t>
        </is>
      </c>
      <c r="B2" s="8" t="n"/>
    </row>
    <row r="3">
      <c r="A3" t="inlineStr">
        <is>
          <t>Земля сельхоз/ЛПХ ~1 га</t>
        </is>
      </c>
      <c r="B3" s="9" t="n">
        <v>400000</v>
      </c>
    </row>
    <row r="4">
      <c r="A4" t="inlineStr">
        <is>
          <t>Подключение газа/э-э, дорога</t>
        </is>
      </c>
      <c r="B4" s="9" t="n">
        <v>1500000</v>
      </c>
    </row>
    <row r="5">
      <c r="A5" t="inlineStr">
        <is>
          <t>Дом/бытовка (компактно)</t>
        </is>
      </c>
      <c r="B5" s="9" t="n">
        <v>1800000</v>
      </c>
    </row>
    <row r="6">
      <c r="A6" t="inlineStr">
        <is>
          <t>Зимние теплицы 800 м² (~8 тыс/м²)</t>
        </is>
      </c>
      <c r="B6" s="9" t="n">
        <v>6400000</v>
      </c>
    </row>
    <row r="7">
      <c r="A7" t="inlineStr">
        <is>
          <t>Система отопления (котёл, контур)</t>
        </is>
      </c>
      <c r="B7" s="9" t="n">
        <v>800000</v>
      </c>
    </row>
    <row r="8">
      <c r="A8" t="inlineStr">
        <is>
          <t>Досветка LED 800 м²</t>
        </is>
      </c>
      <c r="B8" s="9" t="n">
        <v>800000</v>
      </c>
    </row>
    <row r="9">
      <c r="A9" t="inlineStr">
        <is>
          <t>Гидропоника/полив/автоматика</t>
        </is>
      </c>
      <c r="B9" s="9" t="n">
        <v>600000</v>
      </c>
    </row>
    <row r="10">
      <c r="A10" t="inlineStr">
        <is>
          <t>Холодильный склад</t>
        </is>
      </c>
      <c r="B10" s="9" t="n">
        <v>400000</v>
      </c>
    </row>
    <row r="11">
      <c r="A11" t="inlineStr">
        <is>
          <t>Техника/инвентарь</t>
        </is>
      </c>
      <c r="B11" s="9" t="n">
        <v>400000</v>
      </c>
    </row>
    <row r="12">
      <c r="A12" s="10" t="inlineStr">
        <is>
          <t>Подытог</t>
        </is>
      </c>
      <c r="B12" s="11">
        <f>SUM(B3:B11)</f>
        <v/>
      </c>
    </row>
    <row r="13">
      <c r="A13" s="10" t="inlineStr">
        <is>
          <t>Резерв (10%)</t>
        </is>
      </c>
      <c r="B13" s="3">
        <f>B12*0.1</f>
        <v/>
      </c>
    </row>
    <row r="14">
      <c r="A14" s="12" t="inlineStr">
        <is>
          <t>ИТОГО CAPEX</t>
        </is>
      </c>
      <c r="B14" s="13">
        <f>B12+B13</f>
        <v/>
      </c>
    </row>
    <row r="16">
      <c r="A16" s="7" t="inlineStr">
        <is>
          <t>ВЫРУЧКА (₽/год)</t>
        </is>
      </c>
      <c r="B16" s="8" t="n"/>
    </row>
    <row r="17">
      <c r="A17" t="inlineStr">
        <is>
          <t>Огурцы (800 м² × 30 кг × 145 ₽)</t>
        </is>
      </c>
      <c r="B17" s="9" t="n">
        <v>3480000</v>
      </c>
    </row>
    <row r="18">
      <c r="A18" t="inlineStr">
        <is>
          <t>Зелень/рассада (доп. оборот)</t>
        </is>
      </c>
      <c r="B18" s="9" t="n">
        <v>370000</v>
      </c>
    </row>
    <row r="19">
      <c r="A19" s="10" t="inlineStr">
        <is>
          <t>ИТОГО выручка</t>
        </is>
      </c>
      <c r="B19" s="11">
        <f>SUM(B17:B18)</f>
        <v/>
      </c>
    </row>
    <row r="21">
      <c r="A21" s="7" t="inlineStr">
        <is>
          <t>OPEX (₽/год)</t>
        </is>
      </c>
      <c r="B21" s="8" t="n"/>
    </row>
    <row r="22">
      <c r="A22" t="inlineStr">
        <is>
          <t>ФОТ 2 сотрудника (2 × 38 тыс × 12)</t>
        </is>
      </c>
      <c r="B22" s="9" t="n">
        <v>912000</v>
      </c>
    </row>
    <row r="23">
      <c r="A23" t="inlineStr">
        <is>
          <t>Страховые взносы (~30% ФОТ)</t>
        </is>
      </c>
      <c r="B23" s="9" t="n">
        <v>273600</v>
      </c>
    </row>
    <row r="24">
      <c r="A24" t="inlineStr">
        <is>
          <t>Отопление (газ, зима Сибирь)</t>
        </is>
      </c>
      <c r="B24" s="9" t="n">
        <v>700000</v>
      </c>
    </row>
    <row r="25">
      <c r="A25" t="inlineStr">
        <is>
          <t>Электричество (досветка)</t>
        </is>
      </c>
      <c r="B25" s="9" t="n">
        <v>400000</v>
      </c>
    </row>
    <row r="26">
      <c r="A26" t="inlineStr">
        <is>
          <t>Семена/субстрат/удобрения</t>
        </is>
      </c>
      <c r="B26" s="9" t="n">
        <v>300000</v>
      </c>
    </row>
    <row r="27">
      <c r="A27" t="inlineStr">
        <is>
          <t>Упаковка/логистика/сбыт</t>
        </is>
      </c>
      <c r="B27" s="9" t="n">
        <v>250000</v>
      </c>
    </row>
    <row r="28">
      <c r="A28" t="inlineStr">
        <is>
          <t>Вода</t>
        </is>
      </c>
      <c r="B28" s="9" t="n">
        <v>50000</v>
      </c>
    </row>
    <row r="29">
      <c r="A29" t="inlineStr">
        <is>
          <t>Ремонт/прочее</t>
        </is>
      </c>
      <c r="B29" s="9" t="n">
        <v>150000</v>
      </c>
    </row>
    <row r="30">
      <c r="A30" s="10" t="inlineStr">
        <is>
          <t>ИТОГО OPEX</t>
        </is>
      </c>
      <c r="B30" s="11">
        <f>SUM(B22:B29)</f>
        <v/>
      </c>
    </row>
    <row r="31">
      <c r="A31" s="12" t="inlineStr">
        <is>
          <t>EBITDA (выручка − OPEX)</t>
        </is>
      </c>
      <c r="B31" s="13">
        <f>B19-B30</f>
        <v/>
      </c>
    </row>
    <row r="33">
      <c r="A33" s="7" t="inlineStr">
        <is>
          <t>ДЕНЕЖНЫЙ ПОТОК — базовый прогноз</t>
        </is>
      </c>
      <c r="B33" s="8" t="n"/>
      <c r="C33" s="8" t="n"/>
      <c r="D33" s="8" t="n"/>
      <c r="E33" s="8" t="n"/>
    </row>
    <row r="34">
      <c r="A34" s="2" t="inlineStr">
        <is>
          <t>Год</t>
        </is>
      </c>
      <c r="B34" s="2" t="inlineStr">
        <is>
          <t>Свои средства</t>
        </is>
      </c>
      <c r="C34" s="2" t="inlineStr">
        <is>
          <t>Грант КФХ</t>
        </is>
      </c>
      <c r="D34" s="2" t="inlineStr">
        <is>
          <t>Льготный кредит</t>
        </is>
      </c>
      <c r="E34" s="6" t="n">
        <v>0.18</v>
      </c>
    </row>
    <row r="35">
      <c r="A35" t="n">
        <v>0</v>
      </c>
      <c r="B35" s="3">
        <f>-B14</f>
        <v/>
      </c>
      <c r="C35" s="3">
        <f>-MAX(B14-5000000,B14*0.1)</f>
        <v/>
      </c>
      <c r="D35" s="11">
        <f>-B14*(1-0.6)</f>
        <v/>
      </c>
      <c r="E35" s="3">
        <f>B14*0.6*0.05/(1-(1+0.05)^-7)</f>
        <v/>
      </c>
    </row>
    <row r="36">
      <c r="A36" t="n">
        <v>1</v>
      </c>
      <c r="B36" s="3">
        <f>(B31*(1+0.06)^0)*(1-0.06)</f>
        <v/>
      </c>
      <c r="C36" s="3">
        <f>(B31*(1+0.06)^0)*(1-0.06)</f>
        <v/>
      </c>
      <c r="D36" s="3">
        <f>(B31*(1+0.06)^0)*(1-0.06)-IF(1&lt;=7,$E35,0)</f>
        <v/>
      </c>
    </row>
    <row r="37">
      <c r="A37" t="n">
        <v>2</v>
      </c>
      <c r="B37" s="3">
        <f>(B31*(1+0.06)^1)*(1-0.06)</f>
        <v/>
      </c>
      <c r="C37" s="3">
        <f>(B31*(1+0.06)^1)*(1-0.06)</f>
        <v/>
      </c>
      <c r="D37" s="3">
        <f>(B31*(1+0.06)^1)*(1-0.06)-IF(2&lt;=7,$E35,0)</f>
        <v/>
      </c>
    </row>
    <row r="38">
      <c r="A38" t="n">
        <v>3</v>
      </c>
      <c r="B38" s="3">
        <f>(B31*(1+0.06)^2)*(1-0.06)</f>
        <v/>
      </c>
      <c r="C38" s="3">
        <f>(B31*(1+0.06)^2)*(1-0.06)</f>
        <v/>
      </c>
      <c r="D38" s="3">
        <f>(B31*(1+0.06)^2)*(1-0.06)-IF(3&lt;=7,$E35,0)</f>
        <v/>
      </c>
    </row>
    <row r="39">
      <c r="A39" t="n">
        <v>4</v>
      </c>
      <c r="B39" s="3">
        <f>(B31*(1+0.06)^3)*(1-0.06)</f>
        <v/>
      </c>
      <c r="C39" s="3">
        <f>(B31*(1+0.06)^3)*(1-0.06)</f>
        <v/>
      </c>
      <c r="D39" s="3">
        <f>(B31*(1+0.06)^3)*(1-0.06)-IF(4&lt;=7,$E35,0)</f>
        <v/>
      </c>
    </row>
    <row r="40">
      <c r="A40" t="n">
        <v>5</v>
      </c>
      <c r="B40" s="3">
        <f>(B31*(1+0.06)^4)*(1-0.06)</f>
        <v/>
      </c>
      <c r="C40" s="3">
        <f>(B31*(1+0.06)^4)*(1-0.06)</f>
        <v/>
      </c>
      <c r="D40" s="3">
        <f>(B31*(1+0.06)^4)*(1-0.06)-IF(5&lt;=7,$E35,0)</f>
        <v/>
      </c>
    </row>
    <row r="41">
      <c r="A41" t="n">
        <v>6</v>
      </c>
      <c r="B41" s="3">
        <f>(B31*(1+0.06)^5)*(1-0.06)</f>
        <v/>
      </c>
      <c r="C41" s="3">
        <f>(B31*(1+0.06)^5)*(1-0.06)</f>
        <v/>
      </c>
      <c r="D41" s="3">
        <f>(B31*(1+0.06)^5)*(1-0.06)-IF(6&lt;=7,$E35,0)</f>
        <v/>
      </c>
    </row>
    <row r="42">
      <c r="A42" t="n">
        <v>7</v>
      </c>
      <c r="B42" s="3">
        <f>(B31*(1+0.06)^6)*(1-0.06)</f>
        <v/>
      </c>
      <c r="C42" s="3">
        <f>(B31*(1+0.06)^6)*(1-0.06)</f>
        <v/>
      </c>
      <c r="D42" s="3">
        <f>(B31*(1+0.06)^6)*(1-0.06)-IF(7&lt;=7,$E35,0)</f>
        <v/>
      </c>
    </row>
    <row r="43">
      <c r="A43" t="n">
        <v>8</v>
      </c>
      <c r="B43" s="3">
        <f>(B31*(1+0.06)^7)*(1-0.06)</f>
        <v/>
      </c>
      <c r="C43" s="3">
        <f>(B31*(1+0.06)^7)*(1-0.06)</f>
        <v/>
      </c>
      <c r="D43" s="3">
        <f>(B31*(1+0.06)^7)*(1-0.06)-IF(8&lt;=7,$E35,0)</f>
        <v/>
      </c>
    </row>
    <row r="44">
      <c r="A44" t="n">
        <v>9</v>
      </c>
      <c r="B44" s="3">
        <f>(B31*(1+0.06)^8)*(1-0.06)</f>
        <v/>
      </c>
      <c r="C44" s="3">
        <f>(B31*(1+0.06)^8)*(1-0.06)</f>
        <v/>
      </c>
      <c r="D44" s="3">
        <f>(B31*(1+0.06)^8)*(1-0.06)-IF(9&lt;=7,$E35,0)</f>
        <v/>
      </c>
    </row>
    <row r="45">
      <c r="A45" t="n">
        <v>10</v>
      </c>
      <c r="B45" s="3">
        <f>(B31*(1+0.06)^9)*(1-0.06)</f>
        <v/>
      </c>
      <c r="C45" s="3">
        <f>(B31*(1+0.06)^9)*(1-0.06)</f>
        <v/>
      </c>
      <c r="D45" s="3">
        <f>(B31*(1+0.06)^9)*(1-0.06)-IF(10&lt;=7,$E35,0)</f>
        <v/>
      </c>
    </row>
    <row r="47">
      <c r="A47" s="10" t="inlineStr">
        <is>
          <t>NPV</t>
        </is>
      </c>
      <c r="B47" s="11">
        <f>B35+NPV($E34,B36:B45)</f>
        <v/>
      </c>
      <c r="C47" s="11">
        <f>C35+NPV($E34,C36:C45)</f>
        <v/>
      </c>
      <c r="D47" s="11">
        <f>D35+NPV($E34,D36:D45)</f>
        <v/>
      </c>
    </row>
    <row r="48">
      <c r="A48" s="10" t="inlineStr">
        <is>
          <t>IRR</t>
        </is>
      </c>
      <c r="B48" s="14">
        <f>IFERROR(IRR(B35:B45),"—")</f>
        <v/>
      </c>
      <c r="C48" s="14">
        <f>IFERROR(IRR(C35:C45),"—")</f>
        <v/>
      </c>
      <c r="D48" s="14">
        <f>IFERROR(IRR(D35:D45),"—")</f>
        <v/>
      </c>
    </row>
    <row r="50">
      <c r="A50" s="7" t="inlineStr">
        <is>
          <t>ПРОГНОЗЫ (3 сценария)</t>
        </is>
      </c>
      <c r="B50" s="8" t="n"/>
      <c r="C50" s="8" t="n"/>
      <c r="D50" s="8" t="n"/>
    </row>
    <row r="51">
      <c r="A51" s="2" t="inlineStr">
        <is>
          <t>Показатель</t>
        </is>
      </c>
      <c r="B51" s="2" t="inlineStr">
        <is>
          <t>Пессимистичный</t>
        </is>
      </c>
      <c r="C51" s="2" t="inlineStr">
        <is>
          <t>Базовый</t>
        </is>
      </c>
      <c r="D51" s="2" t="inlineStr">
        <is>
          <t>Оптимистичный</t>
        </is>
      </c>
    </row>
    <row r="52">
      <c r="A52" t="inlineStr">
        <is>
          <t>CAPEX, ₽</t>
        </is>
      </c>
      <c r="B52" s="3" t="n">
        <v>15851000</v>
      </c>
      <c r="C52" s="3" t="n">
        <v>14410000</v>
      </c>
      <c r="D52" s="3" t="n">
        <v>13689500</v>
      </c>
    </row>
    <row r="53">
      <c r="A53" t="inlineStr">
        <is>
          <t>Выручка, ₽/год</t>
        </is>
      </c>
      <c r="B53" s="3" t="n">
        <v>3080000</v>
      </c>
      <c r="C53" s="3" t="n">
        <v>3850000</v>
      </c>
      <c r="D53" s="3" t="n">
        <v>4620000</v>
      </c>
    </row>
    <row r="54">
      <c r="A54" t="inlineStr">
        <is>
          <t>OPEX, ₽/год</t>
        </is>
      </c>
      <c r="B54" s="3" t="n">
        <v>3490940</v>
      </c>
      <c r="C54" s="3" t="n">
        <v>3035600</v>
      </c>
      <c r="D54" s="3" t="n">
        <v>2792752</v>
      </c>
    </row>
    <row r="55">
      <c r="A55" t="inlineStr">
        <is>
          <t>EBITDA, ₽/год</t>
        </is>
      </c>
      <c r="B55" s="3" t="n">
        <v>-410940</v>
      </c>
      <c r="C55" s="3" t="n">
        <v>814400</v>
      </c>
      <c r="D55" s="3" t="n">
        <v>1827248</v>
      </c>
    </row>
    <row r="56">
      <c r="A56" s="7" t="inlineStr">
        <is>
          <t>Свои средства</t>
        </is>
      </c>
      <c r="B56" s="8" t="n"/>
      <c r="C56" s="8" t="n"/>
      <c r="D56" s="8" t="n"/>
    </row>
    <row r="57">
      <c r="A57" t="inlineStr">
        <is>
          <t xml:space="preserve">   Окупаемость, лет</t>
        </is>
      </c>
      <c r="B57" t="inlineStr">
        <is>
          <t>—</t>
        </is>
      </c>
      <c r="C57" t="inlineStr">
        <is>
          <t>—</t>
        </is>
      </c>
      <c r="D57" s="4" t="n">
        <v>6.701261842193508</v>
      </c>
    </row>
    <row r="58">
      <c r="A58" t="inlineStr">
        <is>
          <t xml:space="preserve">   NPV, ₽</t>
        </is>
      </c>
      <c r="B58" s="5" t="n">
        <v>-17789697</v>
      </c>
      <c r="C58" s="5" t="n">
        <v>-10213379</v>
      </c>
      <c r="D58" s="5" t="n">
        <v>-3053088</v>
      </c>
    </row>
    <row r="59">
      <c r="A59" t="inlineStr">
        <is>
          <t xml:space="preserve">   IRR</t>
        </is>
      </c>
      <c r="B59" t="inlineStr">
        <is>
          <t>—</t>
        </is>
      </c>
      <c r="C59" s="6" t="n">
        <v>-0.05578740262426438</v>
      </c>
      <c r="D59" s="6" t="n">
        <v>0.09380923136486669</v>
      </c>
    </row>
    <row r="60">
      <c r="A60" s="7" t="inlineStr">
        <is>
          <t>Грант КФХ</t>
        </is>
      </c>
      <c r="B60" s="8" t="n"/>
      <c r="C60" s="8" t="n"/>
      <c r="D60" s="8" t="n"/>
    </row>
    <row r="61">
      <c r="A61" t="inlineStr">
        <is>
          <t xml:space="preserve">   Окупаемость, лет</t>
        </is>
      </c>
      <c r="B61" t="inlineStr">
        <is>
          <t>—</t>
        </is>
      </c>
      <c r="C61" s="4" t="n">
        <v>9.473947985158409</v>
      </c>
      <c r="D61" s="4" t="n">
        <v>4.542140143962229</v>
      </c>
    </row>
    <row r="62">
      <c r="A62" t="inlineStr">
        <is>
          <t xml:space="preserve">   NPV, ₽</t>
        </is>
      </c>
      <c r="B62" s="5" t="n">
        <v>-12789697</v>
      </c>
      <c r="C62" s="5" t="n">
        <v>-5213379</v>
      </c>
      <c r="D62" s="15" t="n">
        <v>1946912</v>
      </c>
    </row>
    <row r="63">
      <c r="A63" t="inlineStr">
        <is>
          <t xml:space="preserve">   IRR</t>
        </is>
      </c>
      <c r="B63" t="inlineStr">
        <is>
          <t>—</t>
        </is>
      </c>
      <c r="C63" s="6" t="n">
        <v>0.01184141004341651</v>
      </c>
      <c r="D63" s="6" t="n">
        <v>0.2009402789524756</v>
      </c>
    </row>
    <row r="64">
      <c r="A64" s="7" t="inlineStr">
        <is>
          <t>Льготный кредит</t>
        </is>
      </c>
      <c r="B64" s="8" t="n"/>
      <c r="C64" s="8" t="n"/>
      <c r="D64" s="8" t="n"/>
    </row>
    <row r="65">
      <c r="A65" t="inlineStr">
        <is>
          <t xml:space="preserve">   Окупаемость, лет</t>
        </is>
      </c>
      <c r="B65" t="inlineStr">
        <is>
          <t>—</t>
        </is>
      </c>
      <c r="C65" t="inlineStr">
        <is>
          <t>—</t>
        </is>
      </c>
      <c r="D65" s="4" t="n">
        <v>7.385210297760211</v>
      </c>
    </row>
    <row r="66">
      <c r="A66" t="inlineStr">
        <is>
          <t xml:space="preserve">   NPV, ₽</t>
        </is>
      </c>
      <c r="B66" s="5" t="n">
        <v>-13892892</v>
      </c>
      <c r="C66" s="5" t="n">
        <v>-7262564</v>
      </c>
      <c r="D66" s="5" t="n">
        <v>-745063</v>
      </c>
    </row>
    <row r="67">
      <c r="A67" t="inlineStr">
        <is>
          <t xml:space="preserve">   IRR</t>
        </is>
      </c>
      <c r="B67" t="inlineStr">
        <is>
          <t>—</t>
        </is>
      </c>
      <c r="C67" s="6" t="n">
        <v>-0.1272405610507122</v>
      </c>
      <c r="D67" s="6" t="n">
        <v>0.1249804493389092</v>
      </c>
    </row>
    <row r="69">
      <c r="A69" s="10" t="inlineStr">
        <is>
          <t>Заметки</t>
        </is>
      </c>
    </row>
    <row r="70">
      <c r="A70" t="inlineStr">
        <is>
          <t>• Главный риск — отопление зимой: газ кратно дешевле электро/дров, наличие газа на участке критично.</t>
        </is>
      </c>
    </row>
    <row r="71">
      <c r="A71" t="inlineStr">
        <is>
          <t>• Зимняя цена огурца в 2–3 раза выше летней — сбыт зимой решает экономику.</t>
        </is>
      </c>
    </row>
    <row r="72">
      <c r="A72" t="inlineStr">
        <is>
          <t>• Грант 'Агростартап' для растениеводства — до 5 млн ₽.</t>
        </is>
      </c>
    </row>
  </sheetData>
  <mergeCells count="4">
    <mergeCell ref="A72:E72"/>
    <mergeCell ref="A1:E1"/>
    <mergeCell ref="A70:E70"/>
    <mergeCell ref="A71:E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</cols>
  <sheetData>
    <row r="1" ht="26" customHeight="1">
      <c r="A1" s="1" t="inlineStr">
        <is>
          <t>5 джерси + куры (мясо и яйцо)</t>
        </is>
      </c>
    </row>
    <row r="2">
      <c r="A2" s="7" t="inlineStr">
        <is>
          <t>CAPEX (разовые вложения)</t>
        </is>
      </c>
      <c r="B2" s="8" t="n"/>
    </row>
    <row r="3">
      <c r="A3" t="inlineStr">
        <is>
          <t>Земля сельхоз 5 га (пастбище/корма)</t>
        </is>
      </c>
      <c r="B3" s="9" t="n">
        <v>2000000</v>
      </c>
    </row>
    <row r="4">
      <c r="A4" t="inlineStr">
        <is>
          <t>Земля ИЖС 10 соток (под дом)</t>
        </is>
      </c>
      <c r="B4" s="9" t="n">
        <v>1300000</v>
      </c>
    </row>
    <row r="5">
      <c r="A5" t="inlineStr">
        <is>
          <t>Дом 80 м² (×50 тыс)</t>
        </is>
      </c>
      <c r="B5" s="9" t="n">
        <v>4000000</v>
      </c>
    </row>
    <row r="6">
      <c r="A6" t="inlineStr">
        <is>
          <t>Коммуникации</t>
        </is>
      </c>
      <c r="B6" s="9" t="n">
        <v>600000</v>
      </c>
    </row>
    <row r="7">
      <c r="A7" t="inlineStr">
        <is>
          <t>Коровник (джерси + молодняк)</t>
        </is>
      </c>
      <c r="B7" s="9" t="n">
        <v>1200000</v>
      </c>
    </row>
    <row r="8">
      <c r="A8" t="inlineStr">
        <is>
          <t>Птичник (несушки + бройлеры)</t>
        </is>
      </c>
      <c r="B8" s="9" t="n">
        <v>500000</v>
      </c>
    </row>
    <row r="9">
      <c r="A9" t="inlineStr">
        <is>
          <t>Молочный блок (охладитель/сепаратор/мини-сыроварня)</t>
        </is>
      </c>
      <c r="B9" s="9" t="n">
        <v>600000</v>
      </c>
    </row>
    <row r="10">
      <c r="A10" t="inlineStr">
        <is>
          <t>Сенник/склад</t>
        </is>
      </c>
      <c r="B10" s="9" t="n">
        <v>300000</v>
      </c>
    </row>
    <row r="11">
      <c r="A11" t="inlineStr">
        <is>
          <t>Ограждение/инфраструктура</t>
        </is>
      </c>
      <c r="B11" s="9" t="n">
        <v>250000</v>
      </c>
    </row>
    <row r="12">
      <c r="A12" t="inlineStr">
        <is>
          <t>Техника</t>
        </is>
      </c>
      <c r="B12" s="9" t="n">
        <v>900000</v>
      </c>
    </row>
    <row r="13">
      <c r="A13" t="inlineStr">
        <is>
          <t>Джерси 5 голов (×130 тыс)</t>
        </is>
      </c>
      <c r="B13" s="9" t="n">
        <v>650000</v>
      </c>
    </row>
    <row r="14">
      <c r="A14" t="inlineStr">
        <is>
          <t>Молодняк 3 головы</t>
        </is>
      </c>
      <c r="B14" s="9" t="n">
        <v>180000</v>
      </c>
    </row>
    <row r="15">
      <c r="A15" t="inlineStr">
        <is>
          <t>Куры-несушки 50 (×600)</t>
        </is>
      </c>
      <c r="B15" s="9" t="n">
        <v>30000</v>
      </c>
    </row>
    <row r="16">
      <c r="A16" t="inlineStr">
        <is>
          <t>Бройлеры: старт + инкубатор</t>
        </is>
      </c>
      <c r="B16" s="9" t="n">
        <v>120000</v>
      </c>
    </row>
    <row r="17">
      <c r="A17" s="10" t="inlineStr">
        <is>
          <t>Подытог</t>
        </is>
      </c>
      <c r="B17" s="11">
        <f>SUM(B3:B16)</f>
        <v/>
      </c>
    </row>
    <row r="18">
      <c r="A18" s="10" t="inlineStr">
        <is>
          <t>Резерв (10%)</t>
        </is>
      </c>
      <c r="B18" s="3">
        <f>B17*0.1</f>
        <v/>
      </c>
    </row>
    <row r="19">
      <c r="A19" s="12" t="inlineStr">
        <is>
          <t>ИТОГО CAPEX</t>
        </is>
      </c>
      <c r="B19" s="13">
        <f>B17+B18</f>
        <v/>
      </c>
    </row>
    <row r="21">
      <c r="A21" s="7" t="inlineStr">
        <is>
          <t>ВЫРУЧКА (₽/год)</t>
        </is>
      </c>
      <c r="B21" s="8" t="n"/>
    </row>
    <row r="22">
      <c r="A22" t="inlineStr">
        <is>
          <t>Молоко сырое премиум (12 000 л × 50 ₽)</t>
        </is>
      </c>
      <c r="B22" s="9" t="n">
        <v>600000</v>
      </c>
    </row>
    <row r="23">
      <c r="A23" t="inlineStr">
        <is>
          <t>Сыр/масло (12 000 л → переработка)</t>
        </is>
      </c>
      <c r="B23" s="9" t="n">
        <v>1122000</v>
      </c>
    </row>
    <row r="24">
      <c r="A24" t="inlineStr">
        <is>
          <t>Яйца (50 кур × 230 × 14 ₽)</t>
        </is>
      </c>
      <c r="B24" s="9" t="n">
        <v>161000</v>
      </c>
    </row>
    <row r="25">
      <c r="A25" t="inlineStr">
        <is>
          <t>Мясо бройлеров (400 × 2.2 кг × 320 ₽)</t>
        </is>
      </c>
      <c r="B25" s="9" t="n">
        <v>281600</v>
      </c>
    </row>
    <row r="26">
      <c r="A26" t="inlineStr">
        <is>
          <t>Продажа молодняка/телят</t>
        </is>
      </c>
      <c r="B26" s="9" t="n">
        <v>150000</v>
      </c>
    </row>
    <row r="27">
      <c r="A27" s="10" t="inlineStr">
        <is>
          <t>ИТОГО выручка</t>
        </is>
      </c>
      <c r="B27" s="11">
        <f>SUM(B22:B26)</f>
        <v/>
      </c>
    </row>
    <row r="29">
      <c r="A29" s="7" t="inlineStr">
        <is>
          <t>OPEX (₽/год)</t>
        </is>
      </c>
      <c r="B29" s="8" t="n"/>
    </row>
    <row r="30">
      <c r="A30" t="inlineStr">
        <is>
          <t>Корма коровам (нетто после своих 5 га)</t>
        </is>
      </c>
      <c r="B30" s="9" t="n">
        <v>200000</v>
      </c>
    </row>
    <row r="31">
      <c r="A31" t="inlineStr">
        <is>
          <t>Корм птице (бройлеры + несушки)</t>
        </is>
      </c>
      <c r="B31" s="9" t="n">
        <v>280000</v>
      </c>
    </row>
    <row r="32">
      <c r="A32" t="inlineStr">
        <is>
          <t>Ветеринария/осеменение</t>
        </is>
      </c>
      <c r="B32" s="9" t="n">
        <v>80000</v>
      </c>
    </row>
    <row r="33">
      <c r="A33" t="inlineStr">
        <is>
          <t>ГСМ</t>
        </is>
      </c>
      <c r="B33" s="9" t="n">
        <v>120000</v>
      </c>
    </row>
    <row r="34">
      <c r="A34" t="inlineStr">
        <is>
          <t>Электричество (охлаждение/переработка)</t>
        </is>
      </c>
      <c r="B34" s="9" t="n">
        <v>130000</v>
      </c>
    </row>
    <row r="35">
      <c r="A35" t="inlineStr">
        <is>
          <t>Молочные расходы (закваски/упаковка)</t>
        </is>
      </c>
      <c r="B35" s="9" t="n">
        <v>90000</v>
      </c>
    </row>
    <row r="36">
      <c r="A36" t="inlineStr">
        <is>
          <t>Упаковка/сбыт/логистика</t>
        </is>
      </c>
      <c r="B36" s="9" t="n">
        <v>150000</v>
      </c>
    </row>
    <row r="37">
      <c r="A37" t="inlineStr">
        <is>
          <t>Наёмный труд (1 помощник, частично)</t>
        </is>
      </c>
      <c r="B37" s="9" t="n">
        <v>240000</v>
      </c>
    </row>
    <row r="38">
      <c r="A38" t="inlineStr">
        <is>
          <t>Ремонт/прочее</t>
        </is>
      </c>
      <c r="B38" s="9" t="n">
        <v>120000</v>
      </c>
    </row>
    <row r="39">
      <c r="A39" s="10" t="inlineStr">
        <is>
          <t>ИТОГО OPEX</t>
        </is>
      </c>
      <c r="B39" s="11">
        <f>SUM(B30:B38)</f>
        <v/>
      </c>
    </row>
    <row r="40">
      <c r="A40" s="12" t="inlineStr">
        <is>
          <t>EBITDA (выручка − OPEX)</t>
        </is>
      </c>
      <c r="B40" s="13">
        <f>B27-B39</f>
        <v/>
      </c>
    </row>
    <row r="42">
      <c r="A42" s="7" t="inlineStr">
        <is>
          <t>ДЕНЕЖНЫЙ ПОТОК — базовый прогноз</t>
        </is>
      </c>
      <c r="B42" s="8" t="n"/>
      <c r="C42" s="8" t="n"/>
      <c r="D42" s="8" t="n"/>
      <c r="E42" s="8" t="n"/>
    </row>
    <row r="43">
      <c r="A43" s="2" t="inlineStr">
        <is>
          <t>Год</t>
        </is>
      </c>
      <c r="B43" s="2" t="inlineStr">
        <is>
          <t>Свои средства</t>
        </is>
      </c>
      <c r="C43" s="2" t="inlineStr">
        <is>
          <t>Грант КФХ</t>
        </is>
      </c>
      <c r="D43" s="2" t="inlineStr">
        <is>
          <t>Льготный кредит</t>
        </is>
      </c>
      <c r="E43" s="6" t="n">
        <v>0.18</v>
      </c>
    </row>
    <row r="44">
      <c r="A44" t="n">
        <v>0</v>
      </c>
      <c r="B44" s="3">
        <f>-B19</f>
        <v/>
      </c>
      <c r="C44" s="3">
        <f>-MAX(B19-5000000,B19*0.1)</f>
        <v/>
      </c>
      <c r="D44" s="11">
        <f>-B19*(1-0.6)</f>
        <v/>
      </c>
      <c r="E44" s="3">
        <f>B19*0.6*0.05/(1-(1+0.05)^-7)</f>
        <v/>
      </c>
    </row>
    <row r="45">
      <c r="A45" t="n">
        <v>1</v>
      </c>
      <c r="B45" s="3">
        <f>(B40*(1+0.06)^0)*(1-0.06)</f>
        <v/>
      </c>
      <c r="C45" s="3">
        <f>(B40*(1+0.06)^0)*(1-0.06)</f>
        <v/>
      </c>
      <c r="D45" s="3">
        <f>(B40*(1+0.06)^0)*(1-0.06)-IF(1&lt;=7,$E44,0)</f>
        <v/>
      </c>
    </row>
    <row r="46">
      <c r="A46" t="n">
        <v>2</v>
      </c>
      <c r="B46" s="3">
        <f>(B40*(1+0.06)^1)*(1-0.06)</f>
        <v/>
      </c>
      <c r="C46" s="3">
        <f>(B40*(1+0.06)^1)*(1-0.06)</f>
        <v/>
      </c>
      <c r="D46" s="3">
        <f>(B40*(1+0.06)^1)*(1-0.06)-IF(2&lt;=7,$E44,0)</f>
        <v/>
      </c>
    </row>
    <row r="47">
      <c r="A47" t="n">
        <v>3</v>
      </c>
      <c r="B47" s="3">
        <f>(B40*(1+0.06)^2)*(1-0.06)</f>
        <v/>
      </c>
      <c r="C47" s="3">
        <f>(B40*(1+0.06)^2)*(1-0.06)</f>
        <v/>
      </c>
      <c r="D47" s="3">
        <f>(B40*(1+0.06)^2)*(1-0.06)-IF(3&lt;=7,$E44,0)</f>
        <v/>
      </c>
    </row>
    <row r="48">
      <c r="A48" t="n">
        <v>4</v>
      </c>
      <c r="B48" s="3">
        <f>(B40*(1+0.06)^3)*(1-0.06)</f>
        <v/>
      </c>
      <c r="C48" s="3">
        <f>(B40*(1+0.06)^3)*(1-0.06)</f>
        <v/>
      </c>
      <c r="D48" s="3">
        <f>(B40*(1+0.06)^3)*(1-0.06)-IF(4&lt;=7,$E44,0)</f>
        <v/>
      </c>
    </row>
    <row r="49">
      <c r="A49" t="n">
        <v>5</v>
      </c>
      <c r="B49" s="3">
        <f>(B40*(1+0.06)^4)*(1-0.06)</f>
        <v/>
      </c>
      <c r="C49" s="3">
        <f>(B40*(1+0.06)^4)*(1-0.06)</f>
        <v/>
      </c>
      <c r="D49" s="3">
        <f>(B40*(1+0.06)^4)*(1-0.06)-IF(5&lt;=7,$E44,0)</f>
        <v/>
      </c>
    </row>
    <row r="50">
      <c r="A50" t="n">
        <v>6</v>
      </c>
      <c r="B50" s="3">
        <f>(B40*(1+0.06)^5)*(1-0.06)</f>
        <v/>
      </c>
      <c r="C50" s="3">
        <f>(B40*(1+0.06)^5)*(1-0.06)</f>
        <v/>
      </c>
      <c r="D50" s="3">
        <f>(B40*(1+0.06)^5)*(1-0.06)-IF(6&lt;=7,$E44,0)</f>
        <v/>
      </c>
    </row>
    <row r="51">
      <c r="A51" t="n">
        <v>7</v>
      </c>
      <c r="B51" s="3">
        <f>(B40*(1+0.06)^6)*(1-0.06)</f>
        <v/>
      </c>
      <c r="C51" s="3">
        <f>(B40*(1+0.06)^6)*(1-0.06)</f>
        <v/>
      </c>
      <c r="D51" s="3">
        <f>(B40*(1+0.06)^6)*(1-0.06)-IF(7&lt;=7,$E44,0)</f>
        <v/>
      </c>
    </row>
    <row r="52">
      <c r="A52" t="n">
        <v>8</v>
      </c>
      <c r="B52" s="3">
        <f>(B40*(1+0.06)^7)*(1-0.06)</f>
        <v/>
      </c>
      <c r="C52" s="3">
        <f>(B40*(1+0.06)^7)*(1-0.06)</f>
        <v/>
      </c>
      <c r="D52" s="3">
        <f>(B40*(1+0.06)^7)*(1-0.06)-IF(8&lt;=7,$E44,0)</f>
        <v/>
      </c>
    </row>
    <row r="53">
      <c r="A53" t="n">
        <v>9</v>
      </c>
      <c r="B53" s="3">
        <f>(B40*(1+0.06)^8)*(1-0.06)</f>
        <v/>
      </c>
      <c r="C53" s="3">
        <f>(B40*(1+0.06)^8)*(1-0.06)</f>
        <v/>
      </c>
      <c r="D53" s="3">
        <f>(B40*(1+0.06)^8)*(1-0.06)-IF(9&lt;=7,$E44,0)</f>
        <v/>
      </c>
    </row>
    <row r="54">
      <c r="A54" t="n">
        <v>10</v>
      </c>
      <c r="B54" s="3">
        <f>(B40*(1+0.06)^9)*(1-0.06)</f>
        <v/>
      </c>
      <c r="C54" s="3">
        <f>(B40*(1+0.06)^9)*(1-0.06)</f>
        <v/>
      </c>
      <c r="D54" s="3">
        <f>(B40*(1+0.06)^9)*(1-0.06)-IF(10&lt;=7,$E44,0)</f>
        <v/>
      </c>
    </row>
    <row r="56">
      <c r="A56" s="10" t="inlineStr">
        <is>
          <t>NPV</t>
        </is>
      </c>
      <c r="B56" s="11">
        <f>B44+NPV($E43,B45:B54)</f>
        <v/>
      </c>
      <c r="C56" s="11">
        <f>C44+NPV($E43,C45:C54)</f>
        <v/>
      </c>
      <c r="D56" s="11">
        <f>D44+NPV($E43,D45:D54)</f>
        <v/>
      </c>
    </row>
    <row r="57">
      <c r="A57" s="10" t="inlineStr">
        <is>
          <t>IRR</t>
        </is>
      </c>
      <c r="B57" s="14">
        <f>IFERROR(IRR(B44:B54),"—")</f>
        <v/>
      </c>
      <c r="C57" s="14">
        <f>IFERROR(IRR(C44:C54),"—")</f>
        <v/>
      </c>
      <c r="D57" s="14">
        <f>IFERROR(IRR(D44:D54),"—")</f>
        <v/>
      </c>
    </row>
    <row r="59">
      <c r="A59" s="7" t="inlineStr">
        <is>
          <t>ПРОГНОЗЫ (3 сценария)</t>
        </is>
      </c>
      <c r="B59" s="8" t="n"/>
      <c r="C59" s="8" t="n"/>
      <c r="D59" s="8" t="n"/>
    </row>
    <row r="60">
      <c r="A60" s="2" t="inlineStr">
        <is>
          <t>Показатель</t>
        </is>
      </c>
      <c r="B60" s="2" t="inlineStr">
        <is>
          <t>Пессимистичный</t>
        </is>
      </c>
      <c r="C60" s="2" t="inlineStr">
        <is>
          <t>Базовый</t>
        </is>
      </c>
      <c r="D60" s="2" t="inlineStr">
        <is>
          <t>Оптимистичный</t>
        </is>
      </c>
    </row>
    <row r="61">
      <c r="A61" t="inlineStr">
        <is>
          <t>CAPEX, ₽</t>
        </is>
      </c>
      <c r="B61" s="3" t="n">
        <v>15282300</v>
      </c>
      <c r="C61" s="3" t="n">
        <v>13893000</v>
      </c>
      <c r="D61" s="3" t="n">
        <v>13198350</v>
      </c>
    </row>
    <row r="62">
      <c r="A62" t="inlineStr">
        <is>
          <t>Выручка, ₽/год</t>
        </is>
      </c>
      <c r="B62" s="3" t="n">
        <v>1897972</v>
      </c>
      <c r="C62" s="3" t="n">
        <v>2314600</v>
      </c>
      <c r="D62" s="3" t="n">
        <v>2731228</v>
      </c>
    </row>
    <row r="63">
      <c r="A63" t="inlineStr">
        <is>
          <t>OPEX, ₽/год</t>
        </is>
      </c>
      <c r="B63" s="3" t="n">
        <v>1579200</v>
      </c>
      <c r="C63" s="3" t="n">
        <v>1410000</v>
      </c>
      <c r="D63" s="3" t="n">
        <v>1297200</v>
      </c>
    </row>
    <row r="64">
      <c r="A64" t="inlineStr">
        <is>
          <t>EBITDA, ₽/год</t>
        </is>
      </c>
      <c r="B64" s="3" t="n">
        <v>318772</v>
      </c>
      <c r="C64" s="3" t="n">
        <v>904600</v>
      </c>
      <c r="D64" s="3" t="n">
        <v>1434028</v>
      </c>
    </row>
    <row r="65">
      <c r="A65" s="7" t="inlineStr">
        <is>
          <t>Свои средства</t>
        </is>
      </c>
      <c r="B65" s="8" t="n"/>
      <c r="C65" s="8" t="n"/>
      <c r="D65" s="8" t="n"/>
    </row>
    <row r="66">
      <c r="A66" t="inlineStr">
        <is>
          <t xml:space="preserve">   Окупаемость, лет</t>
        </is>
      </c>
      <c r="B66" t="inlineStr">
        <is>
          <t>—</t>
        </is>
      </c>
      <c r="C66" t="inlineStr">
        <is>
          <t>—</t>
        </is>
      </c>
      <c r="D66" s="4" t="n">
        <v>7.929299298777218</v>
      </c>
    </row>
    <row r="67">
      <c r="A67" t="inlineStr">
        <is>
          <t xml:space="preserve">   NPV, ₽</t>
        </is>
      </c>
      <c r="B67" s="5" t="n">
        <v>-13868658</v>
      </c>
      <c r="C67" s="5" t="n">
        <v>-9231576</v>
      </c>
      <c r="D67" s="5" t="n">
        <v>-4850872</v>
      </c>
    </row>
    <row r="68">
      <c r="A68" t="inlineStr">
        <is>
          <t xml:space="preserve">   IRR</t>
        </is>
      </c>
      <c r="B68" s="6" t="n">
        <v>-0.181919162318809</v>
      </c>
      <c r="C68" s="6" t="n">
        <v>-0.03448763756023258</v>
      </c>
      <c r="D68" s="6" t="n">
        <v>0.05289736341219393</v>
      </c>
    </row>
    <row r="69">
      <c r="A69" s="7" t="inlineStr">
        <is>
          <t>Грант КФХ</t>
        </is>
      </c>
      <c r="B69" s="8" t="n"/>
      <c r="C69" s="8" t="n"/>
      <c r="D69" s="8" t="n"/>
    </row>
    <row r="70">
      <c r="A70" t="inlineStr">
        <is>
          <t xml:space="preserve">   Окупаемость, лет</t>
        </is>
      </c>
      <c r="B70" t="inlineStr">
        <is>
          <t>—</t>
        </is>
      </c>
      <c r="C70" s="4" t="n">
        <v>8.351914688782148</v>
      </c>
      <c r="D70" s="4" t="n">
        <v>5.332403435452107</v>
      </c>
    </row>
    <row r="71">
      <c r="A71" t="inlineStr">
        <is>
          <t xml:space="preserve">   NPV, ₽</t>
        </is>
      </c>
      <c r="B71" s="5" t="n">
        <v>-8868658</v>
      </c>
      <c r="C71" s="5" t="n">
        <v>-4231576</v>
      </c>
      <c r="D71" s="15" t="n">
        <v>149128</v>
      </c>
    </row>
    <row r="72">
      <c r="A72" t="inlineStr">
        <is>
          <t xml:space="preserve">   IRR</t>
        </is>
      </c>
      <c r="B72" s="6" t="n">
        <v>-0.1360055960161844</v>
      </c>
      <c r="C72" s="6" t="n">
        <v>0.04058413827442561</v>
      </c>
      <c r="D72" s="6" t="n">
        <v>0.1543088281177915</v>
      </c>
    </row>
    <row r="73">
      <c r="A73" s="7" t="inlineStr">
        <is>
          <t>Льготный кредит</t>
        </is>
      </c>
      <c r="B73" s="8" t="n"/>
      <c r="C73" s="8" t="n"/>
      <c r="D73" s="8" t="n"/>
    </row>
    <row r="74">
      <c r="A74" t="inlineStr">
        <is>
          <t xml:space="preserve">   Окупаемость, лет</t>
        </is>
      </c>
      <c r="B74" t="inlineStr">
        <is>
          <t>—</t>
        </is>
      </c>
      <c r="C74" t="inlineStr">
        <is>
          <t>—</t>
        </is>
      </c>
      <c r="D74" s="4" t="n">
        <v>8.706368192730791</v>
      </c>
    </row>
    <row r="75">
      <c r="A75" t="inlineStr">
        <is>
          <t xml:space="preserve">   NPV, ₽</t>
        </is>
      </c>
      <c r="B75" s="5" t="n">
        <v>-10111662</v>
      </c>
      <c r="C75" s="5" t="n">
        <v>-6386630</v>
      </c>
      <c r="D75" s="5" t="n">
        <v>-2625654</v>
      </c>
    </row>
    <row r="76">
      <c r="A76" t="inlineStr">
        <is>
          <t xml:space="preserve">   IRR</t>
        </is>
      </c>
      <c r="B76" s="6" t="n">
        <v>-0.3447909331924166</v>
      </c>
      <c r="C76" s="6" t="n">
        <v>-0.09156971382326448</v>
      </c>
      <c r="D76" s="6" t="n">
        <v>0.05490795997902747</v>
      </c>
    </row>
    <row r="78">
      <c r="A78" s="10" t="inlineStr">
        <is>
          <t>Заметки</t>
        </is>
      </c>
    </row>
    <row r="79">
      <c r="A79" t="inlineStr">
        <is>
          <t>• Джерси: надой ~4 500–5 000 л/год (меньше обычной), но жирность 5.5–8% и премиальная цена.</t>
        </is>
      </c>
    </row>
    <row r="80">
      <c r="A80" t="inlineStr">
        <is>
          <t>• Ключ к окупаемости — переработка (сыр/масло/йогурт) и прямой сбыт, а не сдача молока на завод.</t>
        </is>
      </c>
    </row>
    <row r="81">
      <c r="A81" t="inlineStr">
        <is>
          <t>• Сбыт переработки — главный риск; в пессимистичном сценарии выручка −18%.</t>
        </is>
      </c>
    </row>
    <row r="82">
      <c r="A82" t="inlineStr">
        <is>
          <t>• Грант на КРС молочного направления — до 7 млн ₽.</t>
        </is>
      </c>
    </row>
  </sheetData>
  <mergeCells count="5">
    <mergeCell ref="A81:E81"/>
    <mergeCell ref="A82:E82"/>
    <mergeCell ref="A1:E1"/>
    <mergeCell ref="A80:E80"/>
    <mergeCell ref="A79:E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</cols>
  <sheetData>
    <row r="1" ht="26" customHeight="1">
      <c r="A1" s="1" t="inlineStr">
        <is>
          <t>Смешанная ферма (5 обычных коров + огород)</t>
        </is>
      </c>
    </row>
    <row r="2">
      <c r="A2" s="7" t="inlineStr">
        <is>
          <t>CAPEX (разовые вложения)</t>
        </is>
      </c>
      <c r="B2" s="8" t="n"/>
    </row>
    <row r="3">
      <c r="A3" t="inlineStr">
        <is>
          <t>Земля ИЖС 15 соток</t>
        </is>
      </c>
      <c r="B3" s="9" t="n">
        <v>1950000</v>
      </c>
    </row>
    <row r="4">
      <c r="A4" t="inlineStr">
        <is>
          <t>Земля сельхоз 3 га</t>
        </is>
      </c>
      <c r="B4" s="9" t="n">
        <v>1200000</v>
      </c>
    </row>
    <row r="5">
      <c r="A5" t="inlineStr">
        <is>
          <t>Дом 80 м²</t>
        </is>
      </c>
      <c r="B5" s="9" t="n">
        <v>4000000</v>
      </c>
    </row>
    <row r="6">
      <c r="A6" t="inlineStr">
        <is>
          <t>Коммуникации</t>
        </is>
      </c>
      <c r="B6" s="9" t="n">
        <v>600000</v>
      </c>
    </row>
    <row r="7">
      <c r="A7" t="inlineStr">
        <is>
          <t>Коровник</t>
        </is>
      </c>
      <c r="B7" s="9" t="n">
        <v>1200000</v>
      </c>
    </row>
    <row r="8">
      <c r="A8" t="inlineStr">
        <is>
          <t>Сенник/склад</t>
        </is>
      </c>
      <c r="B8" s="9" t="n">
        <v>300000</v>
      </c>
    </row>
    <row r="9">
      <c r="A9" t="inlineStr">
        <is>
          <t>Ограждение/инфраструктура</t>
        </is>
      </c>
      <c r="B9" s="9" t="n">
        <v>250000</v>
      </c>
    </row>
    <row r="10">
      <c r="A10" t="inlineStr">
        <is>
          <t>Техника</t>
        </is>
      </c>
      <c r="B10" s="9" t="n">
        <v>900000</v>
      </c>
    </row>
    <row r="11">
      <c r="A11" t="inlineStr">
        <is>
          <t>Теплицы/огород</t>
        </is>
      </c>
      <c r="B11" s="9" t="n">
        <v>200000</v>
      </c>
    </row>
    <row r="12">
      <c r="A12" t="inlineStr">
        <is>
          <t>Коровы 5 (×50 тыс)</t>
        </is>
      </c>
      <c r="B12" s="9" t="n">
        <v>250000</v>
      </c>
    </row>
    <row r="13">
      <c r="A13" t="inlineStr">
        <is>
          <t>Молодняк 3</t>
        </is>
      </c>
      <c r="B13" s="9" t="n">
        <v>135000</v>
      </c>
    </row>
    <row r="14">
      <c r="A14" t="inlineStr">
        <is>
          <t>Прочие животные</t>
        </is>
      </c>
      <c r="B14" s="9" t="n">
        <v>95000</v>
      </c>
    </row>
    <row r="15">
      <c r="A15" s="10" t="inlineStr">
        <is>
          <t>Подытог</t>
        </is>
      </c>
      <c r="B15" s="11">
        <f>SUM(B3:B14)</f>
        <v/>
      </c>
    </row>
    <row r="16">
      <c r="A16" s="10" t="inlineStr">
        <is>
          <t>Резерв (10%)</t>
        </is>
      </c>
      <c r="B16" s="3">
        <f>B15*0.1</f>
        <v/>
      </c>
    </row>
    <row r="17">
      <c r="A17" s="12" t="inlineStr">
        <is>
          <t>ИТОГО CAPEX</t>
        </is>
      </c>
      <c r="B17" s="13">
        <f>B15+B16</f>
        <v/>
      </c>
    </row>
    <row r="19">
      <c r="A19" s="7" t="inlineStr">
        <is>
          <t>ВЫРУЧКА (₽/год)</t>
        </is>
      </c>
      <c r="B19" s="8" t="n"/>
    </row>
    <row r="20">
      <c r="A20" t="inlineStr">
        <is>
          <t>Молоко сырое</t>
        </is>
      </c>
      <c r="B20" s="9" t="n">
        <v>577500</v>
      </c>
    </row>
    <row r="21">
      <c r="A21" t="inlineStr">
        <is>
          <t>Сыр/творог</t>
        </is>
      </c>
      <c r="B21" s="9" t="n">
        <v>742500</v>
      </c>
    </row>
    <row r="22">
      <c r="A22" t="inlineStr">
        <is>
          <t>Мясо</t>
        </is>
      </c>
      <c r="B22" s="9" t="n">
        <v>228000</v>
      </c>
    </row>
    <row r="23">
      <c r="A23" t="inlineStr">
        <is>
          <t>Яйца</t>
        </is>
      </c>
      <c r="B23" s="9" t="n">
        <v>82800</v>
      </c>
    </row>
    <row r="24">
      <c r="A24" t="inlineStr">
        <is>
          <t>Овощи/огород</t>
        </is>
      </c>
      <c r="B24" s="9" t="n">
        <v>250000</v>
      </c>
    </row>
    <row r="25">
      <c r="A25" s="10" t="inlineStr">
        <is>
          <t>ИТОГО выручка</t>
        </is>
      </c>
      <c r="B25" s="11">
        <f>SUM(B20:B24)</f>
        <v/>
      </c>
    </row>
    <row r="27">
      <c r="A27" s="7" t="inlineStr">
        <is>
          <t>OPEX (₽/год)</t>
        </is>
      </c>
      <c r="B27" s="8" t="n"/>
    </row>
    <row r="28">
      <c r="A28" t="inlineStr">
        <is>
          <t>Корма (за вычетом своих полей)</t>
        </is>
      </c>
      <c r="B28" s="9" t="n">
        <v>60000</v>
      </c>
    </row>
    <row r="29">
      <c r="A29" t="inlineStr">
        <is>
          <t>Корм прочим животным</t>
        </is>
      </c>
      <c r="B29" s="9" t="n">
        <v>120000</v>
      </c>
    </row>
    <row r="30">
      <c r="A30" t="inlineStr">
        <is>
          <t>Ветеринария/осеменение</t>
        </is>
      </c>
      <c r="B30" s="9" t="n">
        <v>40000</v>
      </c>
    </row>
    <row r="31">
      <c r="A31" t="inlineStr">
        <is>
          <t>ГСМ</t>
        </is>
      </c>
      <c r="B31" s="9" t="n">
        <v>120000</v>
      </c>
    </row>
    <row r="32">
      <c r="A32" t="inlineStr">
        <is>
          <t>Электричество</t>
        </is>
      </c>
      <c r="B32" s="9" t="n">
        <v>90000</v>
      </c>
    </row>
    <row r="33">
      <c r="A33" t="inlineStr">
        <is>
          <t>Ремонт/прочее</t>
        </is>
      </c>
      <c r="B33" s="9" t="n">
        <v>100000</v>
      </c>
    </row>
    <row r="34">
      <c r="A34" s="10" t="inlineStr">
        <is>
          <t>ИТОГО OPEX</t>
        </is>
      </c>
      <c r="B34" s="11">
        <f>SUM(B28:B33)</f>
        <v/>
      </c>
    </row>
    <row r="35">
      <c r="A35" s="12" t="inlineStr">
        <is>
          <t>EBITDA (выручка − OPEX)</t>
        </is>
      </c>
      <c r="B35" s="13">
        <f>B25-B34</f>
        <v/>
      </c>
    </row>
    <row r="37">
      <c r="A37" s="7" t="inlineStr">
        <is>
          <t>ДЕНЕЖНЫЙ ПОТОК — базовый прогноз</t>
        </is>
      </c>
      <c r="B37" s="8" t="n"/>
      <c r="C37" s="8" t="n"/>
      <c r="D37" s="8" t="n"/>
      <c r="E37" s="8" t="n"/>
    </row>
    <row r="38">
      <c r="A38" s="2" t="inlineStr">
        <is>
          <t>Год</t>
        </is>
      </c>
      <c r="B38" s="2" t="inlineStr">
        <is>
          <t>Свои средства</t>
        </is>
      </c>
      <c r="C38" s="2" t="inlineStr">
        <is>
          <t>Грант КФХ</t>
        </is>
      </c>
      <c r="D38" s="2" t="inlineStr">
        <is>
          <t>Льготный кредит</t>
        </is>
      </c>
      <c r="E38" s="6" t="n">
        <v>0.18</v>
      </c>
    </row>
    <row r="39">
      <c r="A39" t="n">
        <v>0</v>
      </c>
      <c r="B39" s="3">
        <f>-B17</f>
        <v/>
      </c>
      <c r="C39" s="3">
        <f>-MAX(B17-5000000,B17*0.1)</f>
        <v/>
      </c>
      <c r="D39" s="11">
        <f>-B17*(1-0.6)</f>
        <v/>
      </c>
      <c r="E39" s="3">
        <f>B17*0.6*0.05/(1-(1+0.05)^-7)</f>
        <v/>
      </c>
    </row>
    <row r="40">
      <c r="A40" t="n">
        <v>1</v>
      </c>
      <c r="B40" s="3">
        <f>(B35*(1+0.06)^0)*(1-0.06)</f>
        <v/>
      </c>
      <c r="C40" s="3">
        <f>(B35*(1+0.06)^0)*(1-0.06)</f>
        <v/>
      </c>
      <c r="D40" s="3">
        <f>(B35*(1+0.06)^0)*(1-0.06)-IF(1&lt;=7,$E39,0)</f>
        <v/>
      </c>
    </row>
    <row r="41">
      <c r="A41" t="n">
        <v>2</v>
      </c>
      <c r="B41" s="3">
        <f>(B35*(1+0.06)^1)*(1-0.06)</f>
        <v/>
      </c>
      <c r="C41" s="3">
        <f>(B35*(1+0.06)^1)*(1-0.06)</f>
        <v/>
      </c>
      <c r="D41" s="3">
        <f>(B35*(1+0.06)^1)*(1-0.06)-IF(2&lt;=7,$E39,0)</f>
        <v/>
      </c>
    </row>
    <row r="42">
      <c r="A42" t="n">
        <v>3</v>
      </c>
      <c r="B42" s="3">
        <f>(B35*(1+0.06)^2)*(1-0.06)</f>
        <v/>
      </c>
      <c r="C42" s="3">
        <f>(B35*(1+0.06)^2)*(1-0.06)</f>
        <v/>
      </c>
      <c r="D42" s="3">
        <f>(B35*(1+0.06)^2)*(1-0.06)-IF(3&lt;=7,$E39,0)</f>
        <v/>
      </c>
    </row>
    <row r="43">
      <c r="A43" t="n">
        <v>4</v>
      </c>
      <c r="B43" s="3">
        <f>(B35*(1+0.06)^3)*(1-0.06)</f>
        <v/>
      </c>
      <c r="C43" s="3">
        <f>(B35*(1+0.06)^3)*(1-0.06)</f>
        <v/>
      </c>
      <c r="D43" s="3">
        <f>(B35*(1+0.06)^3)*(1-0.06)-IF(4&lt;=7,$E39,0)</f>
        <v/>
      </c>
    </row>
    <row r="44">
      <c r="A44" t="n">
        <v>5</v>
      </c>
      <c r="B44" s="3">
        <f>(B35*(1+0.06)^4)*(1-0.06)</f>
        <v/>
      </c>
      <c r="C44" s="3">
        <f>(B35*(1+0.06)^4)*(1-0.06)</f>
        <v/>
      </c>
      <c r="D44" s="3">
        <f>(B35*(1+0.06)^4)*(1-0.06)-IF(5&lt;=7,$E39,0)</f>
        <v/>
      </c>
    </row>
    <row r="45">
      <c r="A45" t="n">
        <v>6</v>
      </c>
      <c r="B45" s="3">
        <f>(B35*(1+0.06)^5)*(1-0.06)</f>
        <v/>
      </c>
      <c r="C45" s="3">
        <f>(B35*(1+0.06)^5)*(1-0.06)</f>
        <v/>
      </c>
      <c r="D45" s="3">
        <f>(B35*(1+0.06)^5)*(1-0.06)-IF(6&lt;=7,$E39,0)</f>
        <v/>
      </c>
    </row>
    <row r="46">
      <c r="A46" t="n">
        <v>7</v>
      </c>
      <c r="B46" s="3">
        <f>(B35*(1+0.06)^6)*(1-0.06)</f>
        <v/>
      </c>
      <c r="C46" s="3">
        <f>(B35*(1+0.06)^6)*(1-0.06)</f>
        <v/>
      </c>
      <c r="D46" s="3">
        <f>(B35*(1+0.06)^6)*(1-0.06)-IF(7&lt;=7,$E39,0)</f>
        <v/>
      </c>
    </row>
    <row r="47">
      <c r="A47" t="n">
        <v>8</v>
      </c>
      <c r="B47" s="3">
        <f>(B35*(1+0.06)^7)*(1-0.06)</f>
        <v/>
      </c>
      <c r="C47" s="3">
        <f>(B35*(1+0.06)^7)*(1-0.06)</f>
        <v/>
      </c>
      <c r="D47" s="3">
        <f>(B35*(1+0.06)^7)*(1-0.06)-IF(8&lt;=7,$E39,0)</f>
        <v/>
      </c>
    </row>
    <row r="48">
      <c r="A48" t="n">
        <v>9</v>
      </c>
      <c r="B48" s="3">
        <f>(B35*(1+0.06)^8)*(1-0.06)</f>
        <v/>
      </c>
      <c r="C48" s="3">
        <f>(B35*(1+0.06)^8)*(1-0.06)</f>
        <v/>
      </c>
      <c r="D48" s="3">
        <f>(B35*(1+0.06)^8)*(1-0.06)-IF(9&lt;=7,$E39,0)</f>
        <v/>
      </c>
    </row>
    <row r="49">
      <c r="A49" t="n">
        <v>10</v>
      </c>
      <c r="B49" s="3">
        <f>(B35*(1+0.06)^9)*(1-0.06)</f>
        <v/>
      </c>
      <c r="C49" s="3">
        <f>(B35*(1+0.06)^9)*(1-0.06)</f>
        <v/>
      </c>
      <c r="D49" s="3">
        <f>(B35*(1+0.06)^9)*(1-0.06)-IF(10&lt;=7,$E39,0)</f>
        <v/>
      </c>
    </row>
    <row r="51">
      <c r="A51" s="10" t="inlineStr">
        <is>
          <t>NPV</t>
        </is>
      </c>
      <c r="B51" s="11">
        <f>B39+NPV($E38,B40:B49)</f>
        <v/>
      </c>
      <c r="C51" s="11">
        <f>C39+NPV($E38,C40:C49)</f>
        <v/>
      </c>
      <c r="D51" s="11">
        <f>D39+NPV($E38,D40:D49)</f>
        <v/>
      </c>
    </row>
    <row r="52">
      <c r="A52" s="10" t="inlineStr">
        <is>
          <t>IRR</t>
        </is>
      </c>
      <c r="B52" s="14">
        <f>IFERROR(IRR(B39:B49),"—")</f>
        <v/>
      </c>
      <c r="C52" s="14">
        <f>IFERROR(IRR(C39:C49),"—")</f>
        <v/>
      </c>
      <c r="D52" s="14">
        <f>IFERROR(IRR(D39:D49),"—")</f>
        <v/>
      </c>
    </row>
    <row r="54">
      <c r="A54" s="7" t="inlineStr">
        <is>
          <t>ПРОГНОЗЫ (3 сценария)</t>
        </is>
      </c>
      <c r="B54" s="8" t="n"/>
      <c r="C54" s="8" t="n"/>
      <c r="D54" s="8" t="n"/>
    </row>
    <row r="55">
      <c r="A55" s="2" t="inlineStr">
        <is>
          <t>Показатель</t>
        </is>
      </c>
      <c r="B55" s="2" t="inlineStr">
        <is>
          <t>Пессимистичный</t>
        </is>
      </c>
      <c r="C55" s="2" t="inlineStr">
        <is>
          <t>Базовый</t>
        </is>
      </c>
      <c r="D55" s="2" t="inlineStr">
        <is>
          <t>Оптимистичный</t>
        </is>
      </c>
    </row>
    <row r="56">
      <c r="A56" t="inlineStr">
        <is>
          <t>CAPEX, ₽</t>
        </is>
      </c>
      <c r="B56" s="3" t="n">
        <v>14016200</v>
      </c>
      <c r="C56" s="3" t="n">
        <v>12188000</v>
      </c>
      <c r="D56" s="3" t="n">
        <v>10969200</v>
      </c>
    </row>
    <row r="57">
      <c r="A57" t="inlineStr">
        <is>
          <t>Выручка, ₽/год</t>
        </is>
      </c>
      <c r="B57" s="3" t="n">
        <v>1504640</v>
      </c>
      <c r="C57" s="3" t="n">
        <v>1880800</v>
      </c>
      <c r="D57" s="3" t="n">
        <v>2256960</v>
      </c>
    </row>
    <row r="58">
      <c r="A58" t="inlineStr">
        <is>
          <t>OPEX, ₽/год</t>
        </is>
      </c>
      <c r="B58" s="3" t="n">
        <v>636000</v>
      </c>
      <c r="C58" s="3" t="n">
        <v>530000</v>
      </c>
      <c r="D58" s="3" t="n">
        <v>450500</v>
      </c>
    </row>
    <row r="59">
      <c r="A59" t="inlineStr">
        <is>
          <t>EBITDA, ₽/год</t>
        </is>
      </c>
      <c r="B59" s="3" t="n">
        <v>868640</v>
      </c>
      <c r="C59" s="3" t="n">
        <v>1350800</v>
      </c>
      <c r="D59" s="3" t="n">
        <v>1806460</v>
      </c>
    </row>
    <row r="60">
      <c r="A60" s="7" t="inlineStr">
        <is>
          <t>Свои средства</t>
        </is>
      </c>
      <c r="B60" s="8" t="n"/>
      <c r="C60" s="8" t="n"/>
      <c r="D60" s="8" t="n"/>
    </row>
    <row r="61">
      <c r="A61" t="inlineStr">
        <is>
          <t xml:space="preserve">   Окупаемость, лет</t>
        </is>
      </c>
      <c r="B61" t="inlineStr">
        <is>
          <t>—</t>
        </is>
      </c>
      <c r="C61" s="4" t="n">
        <v>7.801318763899447</v>
      </c>
      <c r="D61" s="4" t="n">
        <v>5.614770999619155</v>
      </c>
    </row>
    <row r="62">
      <c r="A62" t="inlineStr">
        <is>
          <t xml:space="preserve">   NPV, ₽</t>
        </is>
      </c>
      <c r="B62" s="5" t="n">
        <v>-10164086</v>
      </c>
      <c r="C62" s="5" t="n">
        <v>-5227297</v>
      </c>
      <c r="D62" s="5" t="n">
        <v>-453795</v>
      </c>
    </row>
    <row r="63">
      <c r="A63" t="inlineStr">
        <is>
          <t xml:space="preserve">   IRR</t>
        </is>
      </c>
      <c r="B63" s="6" t="n">
        <v>-0.04203956439159813</v>
      </c>
      <c r="C63" s="6" t="n">
        <v>0.05667617013095876</v>
      </c>
      <c r="D63" s="6" t="n">
        <v>0.1400657923833932</v>
      </c>
    </row>
    <row r="64">
      <c r="A64" s="7" t="inlineStr">
        <is>
          <t>Грант КФХ</t>
        </is>
      </c>
      <c r="B64" s="8" t="n"/>
      <c r="C64" s="8" t="n"/>
      <c r="D64" s="8" t="n"/>
    </row>
    <row r="65">
      <c r="A65" t="inlineStr">
        <is>
          <t xml:space="preserve">   Окупаемость, лет</t>
        </is>
      </c>
      <c r="B65" s="4" t="n">
        <v>8.718223062671241</v>
      </c>
      <c r="C65" s="4" t="n">
        <v>5.017825847182428</v>
      </c>
      <c r="D65" s="4" t="n">
        <v>3.278484950362198</v>
      </c>
    </row>
    <row r="66">
      <c r="A66" t="inlineStr">
        <is>
          <t xml:space="preserve">   NPV, ₽</t>
        </is>
      </c>
      <c r="B66" s="5" t="n">
        <v>-5164086</v>
      </c>
      <c r="C66" s="5" t="n">
        <v>-227297</v>
      </c>
      <c r="D66" s="15" t="n">
        <v>4546205</v>
      </c>
    </row>
    <row r="67">
      <c r="A67" t="inlineStr">
        <is>
          <t xml:space="preserve">   IRR</t>
        </is>
      </c>
      <c r="B67" s="6" t="n">
        <v>0.03069986719056029</v>
      </c>
      <c r="C67" s="6" t="n">
        <v>0.171889394603204</v>
      </c>
      <c r="D67" s="6" t="n">
        <v>0.3103301731636747</v>
      </c>
    </row>
    <row r="68">
      <c r="A68" s="7" t="inlineStr">
        <is>
          <t>Льготный кредит</t>
        </is>
      </c>
      <c r="B68" s="8" t="n"/>
      <c r="C68" s="8" t="n"/>
      <c r="D68" s="8" t="n"/>
    </row>
    <row r="69">
      <c r="A69" t="inlineStr">
        <is>
          <t xml:space="preserve">   Окупаемость, лет</t>
        </is>
      </c>
      <c r="B69" t="inlineStr">
        <is>
          <t>—</t>
        </is>
      </c>
      <c r="C69" s="4" t="n">
        <v>8.570437985447365</v>
      </c>
      <c r="D69" s="4" t="n">
        <v>5.442801162113302</v>
      </c>
    </row>
    <row r="70">
      <c r="A70" t="inlineStr">
        <is>
          <t xml:space="preserve">   NPV, ₽</t>
        </is>
      </c>
      <c r="B70" s="5" t="n">
        <v>-6718348</v>
      </c>
      <c r="C70" s="5" t="n">
        <v>-2731494</v>
      </c>
      <c r="D70" s="15" t="n">
        <v>1395592</v>
      </c>
    </row>
    <row r="71">
      <c r="A71" t="inlineStr">
        <is>
          <t xml:space="preserve">   IRR</t>
        </is>
      </c>
      <c r="B71" s="6" t="n">
        <v>-0.1042001235560747</v>
      </c>
      <c r="C71" s="6" t="n">
        <v>0.06131838420405981</v>
      </c>
      <c r="D71" s="6" t="n">
        <v>0.2064590188791044</v>
      </c>
    </row>
    <row r="73">
      <c r="A73" s="10" t="inlineStr">
        <is>
          <t>Заметки</t>
        </is>
      </c>
    </row>
    <row r="74">
      <c r="A74" t="inlineStr">
        <is>
          <t>• Базовый вариант из первой версии модели (для сравнения профилей).</t>
        </is>
      </c>
    </row>
  </sheetData>
  <mergeCells count="2">
    <mergeCell ref="A74:E74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38" customWidth="1" min="4" max="4"/>
    <col width="30" customWidth="1" min="5" max="5"/>
  </cols>
  <sheetData>
    <row r="1" ht="26" customHeight="1">
      <c r="A1" s="1" t="inlineStr">
        <is>
          <t>УЧАСТКИ ВОКРУГ ТОМСКА (≈50 КМ) — НАПРАВЛЕНИЯ</t>
        </is>
      </c>
    </row>
    <row r="2">
      <c r="A2" s="2" t="inlineStr">
        <is>
          <t>Локация</t>
        </is>
      </c>
      <c r="B2" s="2" t="inlineStr">
        <is>
          <t>Удалённость</t>
        </is>
      </c>
      <c r="C2" s="2" t="inlineStr">
        <is>
          <t>Ориентир цены</t>
        </is>
      </c>
      <c r="D2" s="2" t="inlineStr">
        <is>
          <t>Чем хорошо</t>
        </is>
      </c>
      <c r="E2" s="2" t="inlineStr">
        <is>
          <t>Подходит для</t>
        </is>
      </c>
    </row>
    <row r="3">
      <c r="A3" t="inlineStr">
        <is>
          <t>Корнилово / Лоскутово</t>
        </is>
      </c>
      <c r="B3" t="inlineStr">
        <is>
          <t>10–20 км В</t>
        </is>
      </c>
      <c r="C3" t="inlineStr">
        <is>
          <t>ИЖС 3–3.7 млн/уч.; дорого</t>
        </is>
      </c>
      <c r="D3" t="inlineStr">
        <is>
          <t>близко к городу, газ, инфраструктура, сбыт</t>
        </is>
      </c>
      <c r="E3" t="inlineStr">
        <is>
          <t>теплицы (сбыт), дом</t>
        </is>
      </c>
    </row>
    <row r="4">
      <c r="A4" t="inlineStr">
        <is>
          <t>Богашёво / Петухово</t>
        </is>
      </c>
      <c r="B4" t="inlineStr">
        <is>
          <t>15–20 км Ю-В</t>
        </is>
      </c>
      <c r="C4" t="inlineStr">
        <is>
          <t>ИЖС 1.5–3 млн</t>
        </is>
      </c>
      <c r="D4" t="inlineStr">
        <is>
          <t>аэропорт, газ, асфальт</t>
        </is>
      </c>
      <c r="E4" t="inlineStr">
        <is>
          <t>теплицы, ЛПХ</t>
        </is>
      </c>
    </row>
    <row r="5">
      <c r="A5" t="inlineStr">
        <is>
          <t>Зоркальцево / Кафтанчиково</t>
        </is>
      </c>
      <c r="B5" t="inlineStr">
        <is>
          <t>12–18 км З</t>
        </is>
      </c>
      <c r="C5" t="inlineStr">
        <is>
          <t>ИЖС/ЛПХ 1–2.5 млн</t>
        </is>
      </c>
      <c r="D5" t="inlineStr">
        <is>
          <t>трасса, газ, рядом р. Томь</t>
        </is>
      </c>
      <c r="E5" t="inlineStr">
        <is>
          <t>теплицы, смешанная ферма</t>
        </is>
      </c>
    </row>
    <row r="6">
      <c r="A6" t="inlineStr">
        <is>
          <t>Моряковский Затон</t>
        </is>
      </c>
      <c r="B6" t="inlineStr">
        <is>
          <t>35–45 км С-З</t>
        </is>
      </c>
      <c r="C6" t="inlineStr">
        <is>
          <t>уч. от ~0.55 млн; дёшево</t>
        </is>
      </c>
      <c r="D6" t="inlineStr">
        <is>
          <t>дёшево, заливные луга (корма), р. Обь</t>
        </is>
      </c>
      <c r="E6" t="inlineStr">
        <is>
          <t>джерси/КРС, поля</t>
        </is>
      </c>
    </row>
    <row r="7">
      <c r="A7" t="inlineStr">
        <is>
          <t>Турунтаево / Кузовлево</t>
        </is>
      </c>
      <c r="B7" t="inlineStr">
        <is>
          <t>25–35 км С</t>
        </is>
      </c>
      <c r="C7" t="inlineStr">
        <is>
          <t>сельхоз/ЛПХ недорого</t>
        </is>
      </c>
      <c r="D7" t="inlineStr">
        <is>
          <t>много земли, тихо</t>
        </is>
      </c>
      <c r="E7" t="inlineStr">
        <is>
          <t>КРС, кормовые поля</t>
        </is>
      </c>
    </row>
    <row r="8">
      <c r="A8" t="inlineStr">
        <is>
          <t>Мельниково (Шегарский р-н)</t>
        </is>
      </c>
      <c r="B8" t="inlineStr">
        <is>
          <t>~50 км З</t>
        </is>
      </c>
      <c r="C8" t="inlineStr">
        <is>
          <t>сельхоз дёшево, паи</t>
        </is>
      </c>
      <c r="D8" t="inlineStr">
        <is>
          <t>большие массивы, агро-район</t>
        </is>
      </c>
      <c r="E8" t="inlineStr">
        <is>
          <t>КРС, поля, крупное КФХ</t>
        </is>
      </c>
    </row>
    <row r="9">
      <c r="A9" t="inlineStr">
        <is>
          <t>Межи / участки КФХ 25+ га</t>
        </is>
      </c>
      <c r="B9" t="inlineStr">
        <is>
          <t>30–50 км</t>
        </is>
      </c>
      <c r="C9" t="inlineStr">
        <is>
          <t>сельхоз, оптом за га</t>
        </is>
      </c>
      <c r="D9" t="inlineStr">
        <is>
          <t>масштаб под КФХ/грант</t>
        </is>
      </c>
      <c r="E9" t="inlineStr">
        <is>
          <t>молочная ферма, кормопроизводство</t>
        </is>
      </c>
    </row>
    <row r="11">
      <c r="A11" t="inlineStr">
        <is>
          <t>• Под ДОМ нужна категория ИЖС/ЛПХ (в населённом пункте); под ПОЛЯ/выпас — сельхозназначения.</t>
        </is>
      </c>
    </row>
    <row r="12">
      <c r="A12" t="inlineStr">
        <is>
          <t>• Для ТЕПЛИЦ круглый год критичен ГАЗ на участке (отопление) — выбирайте газифицированные сёла (Корнилово, Богашёво, Зоркальцево).</t>
        </is>
      </c>
    </row>
    <row r="13">
      <c r="A13" t="inlineStr">
        <is>
          <t>• Для ДЖЕРСИ/КРС важны луга и площадь под корма — дешевле и просторнее севернее/западнее (Моряковка, Турунтаево, Мельниково).</t>
        </is>
      </c>
    </row>
    <row r="14">
      <c r="A14" t="inlineStr">
        <is>
          <t>• Грант 'Агростартап' требует регистрации КФХ в сельской местности — учитывайте при выборе.</t>
        </is>
      </c>
    </row>
    <row r="15">
      <c r="A15" t="inlineStr">
        <is>
          <t>• Конкретные лоты смотрите на cian, sibdom, move.ru, neagent, olan, mirkvartir (ссылки на листе «Источники»).</t>
        </is>
      </c>
    </row>
  </sheetData>
  <mergeCells count="6">
    <mergeCell ref="A12:E12"/>
    <mergeCell ref="A15:E15"/>
    <mergeCell ref="A11:E11"/>
    <mergeCell ref="A1:E1"/>
    <mergeCell ref="A13:E13"/>
    <mergeCell ref="A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</cols>
  <sheetData>
    <row r="1" ht="26" customHeight="1">
      <c r="A1" s="1" t="inlineStr">
        <is>
          <t>ИСТОЧНИКИ ДАННЫХ (Томск, 2026)</t>
        </is>
      </c>
    </row>
    <row r="2">
      <c r="A2" s="2" t="inlineStr">
        <is>
          <t>Тема</t>
        </is>
      </c>
      <c r="B2" s="2" t="inlineStr">
        <is>
          <t>Источник</t>
        </is>
      </c>
    </row>
    <row r="3">
      <c r="A3" t="inlineStr">
        <is>
          <t>Джерси: надой ~4.5–5 тыс л, жирность 5.6–8%</t>
        </is>
      </c>
      <c r="B3" t="inlineStr">
        <is>
          <t>wikipedia / direct.farm / salkovo.ru</t>
        </is>
      </c>
    </row>
    <row r="4">
      <c r="A4" t="inlineStr">
        <is>
          <t>Тепличный бизнес: рентаб. 15–25%, урожай огурца 20–30 кг/м²</t>
        </is>
      </c>
      <c r="B4" t="inlineStr">
        <is>
          <t>polygalvostok.ru / openbusiness.ru / svoefermerstvo.ru</t>
        </is>
      </c>
    </row>
    <row r="5">
      <c r="A5" t="inlineStr">
        <is>
          <t>Зимняя теплица: цена зимой ×2–3, отопление — главная статья</t>
        </is>
      </c>
      <c r="B5" t="inlineStr">
        <is>
          <t>technolakpiter.ru / polygalvostok.ru</t>
        </is>
      </c>
    </row>
    <row r="6">
      <c r="A6" t="inlineStr">
        <is>
          <t>Участки ИЖС/ЛПХ Томский р-н</t>
        </is>
      </c>
      <c r="B6" t="inlineStr">
        <is>
          <t>cian / sibdom / m2.ru / olan.ru / mirkvartir.ru</t>
        </is>
      </c>
    </row>
    <row r="7">
      <c r="A7" t="inlineStr">
        <is>
          <t>Сельхозземля, участки КФХ (25+ га)</t>
        </is>
      </c>
      <c r="B7" t="inlineStr">
        <is>
          <t>move.ru / neagent.info / cian</t>
        </is>
      </c>
    </row>
    <row r="8">
      <c r="A8" t="inlineStr">
        <is>
          <t>Закупка молока (выс. сорт ~40 ₽/л)</t>
        </is>
      </c>
      <c r="B8" t="inlineStr">
        <is>
          <t>vtomske.ru / souzmoloko.ru</t>
        </is>
      </c>
    </row>
    <row r="9">
      <c r="A9" t="inlineStr">
        <is>
          <t>Грант 'Агростартап' Томск (3–6 млн; до 7 на КРС)</t>
        </is>
      </c>
      <c r="B9" t="inlineStr">
        <is>
          <t>svetich.info / svoefermerstvo.ru</t>
        </is>
      </c>
    </row>
    <row r="10">
      <c r="A10" t="inlineStr">
        <is>
          <t>Льготный кредит АПК (ставка до 5%, до 7 лет)</t>
        </is>
      </c>
      <c r="B10" t="inlineStr">
        <is>
          <t>rshb.ru</t>
        </is>
      </c>
    </row>
    <row r="12">
      <c r="A12" t="inlineStr">
        <is>
          <t>Цены ориентировочные (диапазоны рынка). Проверяйте по конкретному лоту.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2026-06-30T15:07:17Z</dcterms:created>
  <dcterms:modified xsi:type="dcterms:W3CDTF">2026-06-30T15:07:17Z</dcterms:modified>
</cp:coreProperties>
</file>