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пущения" sheetId="1" state="visible" r:id="rId1"/>
    <sheet name="CAPEX" sheetId="2" state="visible" r:id="rId2"/>
    <sheet name="P&amp;L" sheetId="3" state="visible" r:id="rId3"/>
    <sheet name="Юнит-экономика" sheetId="4" state="visible" r:id="rId4"/>
    <sheet name="Денежный поток (база)" sheetId="5" state="visible" r:id="rId5"/>
    <sheet name="Прогноз (3 сценария)" sheetId="6" state="visible" r:id="rId6"/>
    <sheet name="Чувствительность" sheetId="7" state="visible" r:id="rId7"/>
    <sheet name="Источники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 ##0 \₽"/>
    <numFmt numFmtId="166" formatCode="0.0"/>
    <numFmt numFmtId="167" formatCode="+0%;-0%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1"/>
    </font>
    <font>
      <color rgb="000000CC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2" fillId="4" borderId="0" pivotButton="0" quotePrefix="0" xfId="0"/>
    <xf numFmtId="0" fontId="0" fillId="4" borderId="0" pivotButton="0" quotePrefix="0" xfId="0"/>
    <xf numFmtId="1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2" fontId="4" fillId="0" borderId="0" pivotButton="0" quotePrefix="0" xfId="0"/>
    <xf numFmtId="165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2" fillId="5" borderId="0" pivotButton="0" quotePrefix="0" xfId="0"/>
    <xf numFmtId="165" fontId="2" fillId="5" borderId="0" pivotButton="0" quotePrefix="0" xfId="0"/>
    <xf numFmtId="166" fontId="0" fillId="0" borderId="0" pivotButton="0" quotePrefix="0" xfId="0"/>
    <xf numFmtId="164" fontId="2" fillId="0" borderId="0" pivotButton="0" quotePrefix="0" xfId="0"/>
    <xf numFmtId="9" fontId="0" fillId="0" borderId="0" pivotButton="0" quotePrefix="0" xfId="0"/>
    <xf numFmtId="167" fontId="0" fillId="0" borderId="0" pivotButton="0" quotePrefix="0" xfId="0"/>
    <xf numFmtId="165" fontId="0" fillId="6" borderId="0" pivotButton="0" quotePrefix="0" xfId="0"/>
    <xf numFmtId="164" fontId="0" fillId="0" borderId="0" pivotButton="0" quotePrefix="0" xfId="0"/>
    <xf numFmtId="165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</cols>
  <sheetData>
    <row r="1" ht="26" customHeight="1">
      <c r="A1" s="1" t="inlineStr">
        <is>
          <t>ДОПУЩЕНИЯ (входные параметры — правьте синие значения)</t>
        </is>
      </c>
    </row>
    <row r="2">
      <c r="A2" s="2" t="inlineStr">
        <is>
          <t>Параметр</t>
        </is>
      </c>
      <c r="B2" s="2" t="inlineStr">
        <is>
          <t>Значение</t>
        </is>
      </c>
      <c r="C2" s="2" t="inlineStr">
        <is>
          <t>Комментарий</t>
        </is>
      </c>
    </row>
    <row r="3">
      <c r="A3" s="3" t="inlineStr">
        <is>
          <t>Общие</t>
        </is>
      </c>
      <c r="B3" s="4" t="n"/>
      <c r="C3" s="4" t="n"/>
    </row>
    <row r="4">
      <c r="A4" t="inlineStr">
        <is>
          <t>Горизонт, лет</t>
        </is>
      </c>
      <c r="B4" s="5" t="n">
        <v>10</v>
      </c>
      <c r="C4" t="inlineStr">
        <is>
          <t>число лет прогноза</t>
        </is>
      </c>
    </row>
    <row r="5">
      <c r="A5" t="inlineStr">
        <is>
          <t>Ставка дисконтирования</t>
        </is>
      </c>
      <c r="B5" s="6" t="n">
        <v>0.18</v>
      </c>
      <c r="C5" t="inlineStr">
        <is>
          <t>ключевая + премия за риск</t>
        </is>
      </c>
    </row>
    <row r="6">
      <c r="A6" t="inlineStr">
        <is>
          <t>Инфляция (рост цен/затрат)</t>
        </is>
      </c>
      <c r="B6" s="6" t="n">
        <v>0.06</v>
      </c>
      <c r="C6" t="inlineStr">
        <is>
          <t>годовая</t>
        </is>
      </c>
    </row>
    <row r="7">
      <c r="A7" t="inlineStr">
        <is>
          <t>Налог ЕСХН</t>
        </is>
      </c>
      <c r="B7" s="6" t="n">
        <v>0.06</v>
      </c>
      <c r="C7" t="inlineStr">
        <is>
          <t>6% с прибыли</t>
        </is>
      </c>
    </row>
    <row r="8">
      <c r="A8" s="3" t="inlineStr">
        <is>
          <t>Земля</t>
        </is>
      </c>
      <c r="B8" s="4" t="n"/>
      <c r="C8" s="4" t="n"/>
    </row>
    <row r="9">
      <c r="A9" t="inlineStr">
        <is>
          <t>Участок ИЖС, соток</t>
        </is>
      </c>
      <c r="B9" s="5" t="n">
        <v>15</v>
      </c>
      <c r="C9" t="inlineStr">
        <is>
          <t>под дом</t>
        </is>
      </c>
    </row>
    <row r="10">
      <c r="A10" t="inlineStr">
        <is>
          <t>Цена ИЖС, ₽/сотка</t>
        </is>
      </c>
      <c r="B10" s="7" t="n">
        <v>130000</v>
      </c>
      <c r="C10" t="inlineStr">
        <is>
          <t>Томский р-н 100–300 тыс</t>
        </is>
      </c>
    </row>
    <row r="11">
      <c r="A11" t="inlineStr">
        <is>
          <t>Сельхозземля, га</t>
        </is>
      </c>
      <c r="B11" s="8" t="n">
        <v>3</v>
      </c>
      <c r="C11" t="inlineStr">
        <is>
          <t>поля/выпас</t>
        </is>
      </c>
    </row>
    <row r="12">
      <c r="A12" t="inlineStr">
        <is>
          <t>Цена сельхоз, ₽/га</t>
        </is>
      </c>
      <c r="B12" s="7" t="n">
        <v>400000</v>
      </c>
      <c r="C12" t="inlineStr">
        <is>
          <t>до ~600 тыс/га</t>
        </is>
      </c>
    </row>
    <row r="13">
      <c r="A13" s="3" t="inlineStr">
        <is>
          <t>CAPEX (постройки/техника)</t>
        </is>
      </c>
      <c r="B13" s="4" t="n"/>
      <c r="C13" s="4" t="n"/>
    </row>
    <row r="14">
      <c r="A14" t="inlineStr">
        <is>
          <t>Дом, м²</t>
        </is>
      </c>
      <c r="B14" s="5" t="n">
        <v>80</v>
      </c>
      <c r="C14" t="inlineStr"/>
    </row>
    <row r="15">
      <c r="A15" t="inlineStr">
        <is>
          <t>Стройка, ₽/м²</t>
        </is>
      </c>
      <c r="B15" s="7" t="n">
        <v>50000</v>
      </c>
      <c r="C15" t="inlineStr">
        <is>
          <t>Томск, каркас/брус</t>
        </is>
      </c>
    </row>
    <row r="16">
      <c r="A16" t="inlineStr">
        <is>
          <t>Коммуникации, ₽</t>
        </is>
      </c>
      <c r="B16" s="7" t="n">
        <v>600000</v>
      </c>
      <c r="C16" t="inlineStr">
        <is>
          <t>скважина, э/э, септик</t>
        </is>
      </c>
    </row>
    <row r="17">
      <c r="A17" t="inlineStr">
        <is>
          <t>Коровник, ₽</t>
        </is>
      </c>
      <c r="B17" s="7" t="n">
        <v>1200000</v>
      </c>
      <c r="C17" t="inlineStr"/>
    </row>
    <row r="18">
      <c r="A18" t="inlineStr">
        <is>
          <t>Сенник/склад, ₽</t>
        </is>
      </c>
      <c r="B18" s="7" t="n">
        <v>300000</v>
      </c>
      <c r="C18" t="inlineStr"/>
    </row>
    <row r="19">
      <c r="A19" t="inlineStr">
        <is>
          <t>Ограждение/инфра, ₽</t>
        </is>
      </c>
      <c r="B19" s="7" t="n">
        <v>250000</v>
      </c>
      <c r="C19" t="inlineStr"/>
    </row>
    <row r="20">
      <c r="A20" t="inlineStr">
        <is>
          <t>Техника, ₽</t>
        </is>
      </c>
      <c r="B20" s="7" t="n">
        <v>900000</v>
      </c>
      <c r="C20" t="inlineStr"/>
    </row>
    <row r="21">
      <c r="A21" t="inlineStr">
        <is>
          <t>Теплицы/огород, ₽</t>
        </is>
      </c>
      <c r="B21" s="7" t="n">
        <v>200000</v>
      </c>
      <c r="C21" t="inlineStr"/>
    </row>
    <row r="22">
      <c r="A22" t="inlineStr">
        <is>
          <t>Резерв, % от CAPEX</t>
        </is>
      </c>
      <c r="B22" s="6" t="n">
        <v>0.1</v>
      </c>
      <c r="C22" t="inlineStr">
        <is>
          <t>непредвиденное</t>
        </is>
      </c>
    </row>
    <row r="23">
      <c r="A23" s="3" t="inlineStr">
        <is>
          <t>Поголовье</t>
        </is>
      </c>
      <c r="B23" s="4" t="n"/>
      <c r="C23" s="4" t="n"/>
    </row>
    <row r="24">
      <c r="A24" t="inlineStr">
        <is>
          <t>Коровы, голов</t>
        </is>
      </c>
      <c r="B24" s="5" t="n">
        <v>5</v>
      </c>
      <c r="C24" t="inlineStr"/>
    </row>
    <row r="25">
      <c r="A25" t="inlineStr">
        <is>
          <t>Цена коровы, ₽</t>
        </is>
      </c>
      <c r="B25" s="7" t="n">
        <v>50000</v>
      </c>
      <c r="C25" t="inlineStr">
        <is>
          <t>Томск 40–53 тыс</t>
        </is>
      </c>
    </row>
    <row r="26">
      <c r="A26" t="inlineStr">
        <is>
          <t>Молодняк, голов</t>
        </is>
      </c>
      <c r="B26" s="5" t="n">
        <v>3</v>
      </c>
      <c r="C26" t="inlineStr"/>
    </row>
    <row r="27">
      <c r="A27" t="inlineStr">
        <is>
          <t>Цена молодняка, ₽</t>
        </is>
      </c>
      <c r="B27" s="7" t="n">
        <v>45000</v>
      </c>
      <c r="C27" t="inlineStr"/>
    </row>
    <row r="28">
      <c r="A28" t="inlineStr">
        <is>
          <t>Козы, голов</t>
        </is>
      </c>
      <c r="B28" s="5" t="n">
        <v>4</v>
      </c>
      <c r="C28" t="inlineStr"/>
    </row>
    <row r="29">
      <c r="A29" t="inlineStr">
        <is>
          <t>Цена козы, ₽</t>
        </is>
      </c>
      <c r="B29" s="7" t="n">
        <v>12000</v>
      </c>
      <c r="C29" t="inlineStr"/>
    </row>
    <row r="30">
      <c r="A30" t="inlineStr">
        <is>
          <t>Свиньи, голов</t>
        </is>
      </c>
      <c r="B30" s="5" t="n">
        <v>4</v>
      </c>
      <c r="C30" t="inlineStr"/>
    </row>
    <row r="31">
      <c r="A31" t="inlineStr">
        <is>
          <t>Цена свиньи, ₽</t>
        </is>
      </c>
      <c r="B31" s="7" t="n">
        <v>8000</v>
      </c>
      <c r="C31" t="inlineStr"/>
    </row>
    <row r="32">
      <c r="A32" t="inlineStr">
        <is>
          <t>Куры, голов</t>
        </is>
      </c>
      <c r="B32" s="5" t="n">
        <v>30</v>
      </c>
      <c r="C32" t="inlineStr"/>
    </row>
    <row r="33">
      <c r="A33" t="inlineStr">
        <is>
          <t>Цена курицы, ₽</t>
        </is>
      </c>
      <c r="B33" s="7" t="n">
        <v>500</v>
      </c>
      <c r="C33" t="inlineStr"/>
    </row>
    <row r="34">
      <c r="A34" s="3" t="inlineStr">
        <is>
          <t>Продуктивность и цены</t>
        </is>
      </c>
      <c r="B34" s="4" t="n"/>
      <c r="C34" s="4" t="n"/>
    </row>
    <row r="35">
      <c r="A35" t="inlineStr">
        <is>
          <t>Надой, л/корову/год</t>
        </is>
      </c>
      <c r="B35" s="5" t="n">
        <v>5500</v>
      </c>
      <c r="C35" t="inlineStr"/>
    </row>
    <row r="36">
      <c r="A36" t="inlineStr">
        <is>
          <t>Цена молока, ₽/л</t>
        </is>
      </c>
      <c r="B36" s="7" t="n">
        <v>30</v>
      </c>
      <c r="C36" t="inlineStr">
        <is>
          <t>КФХ-реализация</t>
        </is>
      </c>
    </row>
    <row r="37">
      <c r="A37" t="inlineStr">
        <is>
          <t>Доля молока в сыр</t>
        </is>
      </c>
      <c r="B37" s="6" t="n">
        <v>0.3</v>
      </c>
      <c r="C37" t="inlineStr"/>
    </row>
    <row r="38">
      <c r="A38" t="inlineStr">
        <is>
          <t>Выход сыра, кг/л</t>
        </is>
      </c>
      <c r="B38" s="9" t="n">
        <v>0.1</v>
      </c>
      <c r="C38" t="inlineStr"/>
    </row>
    <row r="39">
      <c r="A39" t="inlineStr">
        <is>
          <t>Цена сыра, ₽/кг</t>
        </is>
      </c>
      <c r="B39" s="7" t="n">
        <v>900</v>
      </c>
      <c r="C39" t="inlineStr"/>
    </row>
    <row r="40">
      <c r="A40" t="inlineStr">
        <is>
          <t>Мясо, кг/год</t>
        </is>
      </c>
      <c r="B40" s="5" t="n">
        <v>600</v>
      </c>
      <c r="C40" t="inlineStr"/>
    </row>
    <row r="41">
      <c r="A41" t="inlineStr">
        <is>
          <t>Цена мяса, ₽/кг</t>
        </is>
      </c>
      <c r="B41" s="7" t="n">
        <v>380</v>
      </c>
      <c r="C41" t="inlineStr"/>
    </row>
    <row r="42">
      <c r="A42" t="inlineStr">
        <is>
          <t>Яиц на курицу/год</t>
        </is>
      </c>
      <c r="B42" s="5" t="n">
        <v>230</v>
      </c>
      <c r="C42" t="inlineStr"/>
    </row>
    <row r="43">
      <c r="A43" t="inlineStr">
        <is>
          <t>Цена яйца, ₽/шт</t>
        </is>
      </c>
      <c r="B43" s="7" t="n">
        <v>12</v>
      </c>
      <c r="C43" t="inlineStr"/>
    </row>
    <row r="44">
      <c r="A44" t="inlineStr">
        <is>
          <t>Овощи, ₽/год</t>
        </is>
      </c>
      <c r="B44" s="7" t="n">
        <v>250000</v>
      </c>
      <c r="C44" t="inlineStr"/>
    </row>
    <row r="45">
      <c r="A45" s="3" t="inlineStr">
        <is>
          <t>OPEX (годовые)</t>
        </is>
      </c>
      <c r="B45" s="4" t="n"/>
      <c r="C45" s="4" t="n"/>
    </row>
    <row r="46">
      <c r="A46" t="inlineStr">
        <is>
          <t>Корм на корову, ₽/год</t>
        </is>
      </c>
      <c r="B46" s="7" t="n">
        <v>60000</v>
      </c>
      <c r="C46" t="inlineStr"/>
    </row>
    <row r="47">
      <c r="A47" t="inlineStr">
        <is>
          <t>Экономия с 1 га, ₽</t>
        </is>
      </c>
      <c r="B47" s="7" t="n">
        <v>80000</v>
      </c>
      <c r="C47" t="inlineStr">
        <is>
          <t>свои поля</t>
        </is>
      </c>
    </row>
    <row r="48">
      <c r="A48" t="inlineStr">
        <is>
          <t>Ветеринария на корову, ₽</t>
        </is>
      </c>
      <c r="B48" s="7" t="n">
        <v>8000</v>
      </c>
      <c r="C48" t="inlineStr"/>
    </row>
    <row r="49">
      <c r="A49" t="inlineStr">
        <is>
          <t>Корм прочим, ₽/год</t>
        </is>
      </c>
      <c r="B49" s="7" t="n">
        <v>120000</v>
      </c>
      <c r="C49" t="inlineStr"/>
    </row>
    <row r="50">
      <c r="A50" t="inlineStr">
        <is>
          <t>ГСМ, ₽/год</t>
        </is>
      </c>
      <c r="B50" s="7" t="n">
        <v>120000</v>
      </c>
      <c r="C50" t="inlineStr"/>
    </row>
    <row r="51">
      <c r="A51" t="inlineStr">
        <is>
          <t>Электричество, ₽/год</t>
        </is>
      </c>
      <c r="B51" s="7" t="n">
        <v>90000</v>
      </c>
      <c r="C51" t="inlineStr"/>
    </row>
    <row r="52">
      <c r="A52" t="inlineStr">
        <is>
          <t>Ремонт/прочее, ₽/год</t>
        </is>
      </c>
      <c r="B52" s="7" t="n">
        <v>100000</v>
      </c>
      <c r="C52" t="inlineStr"/>
    </row>
    <row r="53">
      <c r="A53" t="inlineStr">
        <is>
          <t>Наёмный труд, ₽/год</t>
        </is>
      </c>
      <c r="B53" s="7" t="n">
        <v>0</v>
      </c>
      <c r="C53" t="inlineStr">
        <is>
          <t>0 = семейный</t>
        </is>
      </c>
    </row>
    <row r="54">
      <c r="A54" s="3" t="inlineStr">
        <is>
          <t>Финансирование</t>
        </is>
      </c>
      <c r="B54" s="4" t="n"/>
      <c r="C54" s="4" t="n"/>
    </row>
    <row r="55">
      <c r="A55" t="inlineStr">
        <is>
          <t>Грант КФХ, ₽</t>
        </is>
      </c>
      <c r="B55" s="7" t="n">
        <v>5000000</v>
      </c>
      <c r="C55" t="inlineStr">
        <is>
          <t>Агростартап Томск 3–6 млн</t>
        </is>
      </c>
    </row>
    <row r="56">
      <c r="A56" t="inlineStr">
        <is>
          <t>Софинансирование гранта, %</t>
        </is>
      </c>
      <c r="B56" s="6" t="n">
        <v>0.1</v>
      </c>
      <c r="C56" t="inlineStr">
        <is>
          <t>мин. своих</t>
        </is>
      </c>
    </row>
    <row r="57">
      <c r="A57" t="inlineStr">
        <is>
          <t>Доля кредита в CAPEX, %</t>
        </is>
      </c>
      <c r="B57" s="6" t="n">
        <v>0.6</v>
      </c>
      <c r="C57" t="inlineStr"/>
    </row>
    <row r="58">
      <c r="A58" t="inlineStr">
        <is>
          <t>Ставка кредита</t>
        </is>
      </c>
      <c r="B58" s="6" t="n">
        <v>0.05</v>
      </c>
      <c r="C58" t="inlineStr">
        <is>
          <t>льготная РСХБ до 5%</t>
        </is>
      </c>
    </row>
    <row r="59">
      <c r="A59" t="inlineStr">
        <is>
          <t>Срок кредита, лет</t>
        </is>
      </c>
      <c r="B59" s="5" t="n">
        <v>7</v>
      </c>
      <c r="C59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 ht="26" customHeight="1">
      <c r="A1" s="1" t="inlineStr">
        <is>
          <t>КАПИТАЛЬНЫЕ ВЛОЖЕНИЯ (формулы → лист «Допущения»)</t>
        </is>
      </c>
    </row>
    <row r="2">
      <c r="A2" s="2" t="inlineStr">
        <is>
          <t>Статья</t>
        </is>
      </c>
      <c r="B2" s="2" t="inlineStr">
        <is>
          <t>Сумма, ₽</t>
        </is>
      </c>
    </row>
    <row r="3">
      <c r="A3" t="inlineStr">
        <is>
          <t>Земля ИЖС (участок под дом)</t>
        </is>
      </c>
      <c r="B3" s="10">
        <f>Допущения!$B$9*Допущения!$B$10</f>
        <v/>
      </c>
    </row>
    <row r="4">
      <c r="A4" t="inlineStr">
        <is>
          <t>Земля сельхоз (поля/выпас)</t>
        </is>
      </c>
      <c r="B4" s="10">
        <f>Допущения!$B$11*Допущения!$B$12</f>
        <v/>
      </c>
    </row>
    <row r="5">
      <c r="A5" t="inlineStr">
        <is>
          <t>Дом</t>
        </is>
      </c>
      <c r="B5" s="10">
        <f>Допущения!$B$14*Допущения!$B$15</f>
        <v/>
      </c>
    </row>
    <row r="6">
      <c r="A6" t="inlineStr">
        <is>
          <t>Коммуникации</t>
        </is>
      </c>
      <c r="B6" s="10">
        <f>Допущения!$B$16</f>
        <v/>
      </c>
    </row>
    <row r="7">
      <c r="A7" t="inlineStr">
        <is>
          <t>Коровник</t>
        </is>
      </c>
      <c r="B7" s="10">
        <f>Допущения!$B$17</f>
        <v/>
      </c>
    </row>
    <row r="8">
      <c r="A8" t="inlineStr">
        <is>
          <t>Сенник/склад</t>
        </is>
      </c>
      <c r="B8" s="10">
        <f>Допущения!$B$18</f>
        <v/>
      </c>
    </row>
    <row r="9">
      <c r="A9" t="inlineStr">
        <is>
          <t>Ограждение/инфраструктура</t>
        </is>
      </c>
      <c r="B9" s="10">
        <f>Допущения!$B$19</f>
        <v/>
      </c>
    </row>
    <row r="10">
      <c r="A10" t="inlineStr">
        <is>
          <t>Техника</t>
        </is>
      </c>
      <c r="B10" s="10">
        <f>Допущения!$B$20</f>
        <v/>
      </c>
    </row>
    <row r="11">
      <c r="A11" t="inlineStr">
        <is>
          <t>Теплицы/огород</t>
        </is>
      </c>
      <c r="B11" s="10">
        <f>Допущения!$B$21</f>
        <v/>
      </c>
    </row>
    <row r="12">
      <c r="A12" t="inlineStr">
        <is>
          <t>Закупка скота (коровы)</t>
        </is>
      </c>
      <c r="B12" s="10">
        <f>Допущения!$B$24*Допущения!$B$25</f>
        <v/>
      </c>
    </row>
    <row r="13">
      <c r="A13" t="inlineStr">
        <is>
          <t>Закупка молодняка</t>
        </is>
      </c>
      <c r="B13" s="10">
        <f>Допущения!$B$26*Допущения!$B$27</f>
        <v/>
      </c>
    </row>
    <row r="14">
      <c r="A14" t="inlineStr">
        <is>
          <t>Прочие животные</t>
        </is>
      </c>
      <c r="B14" s="10">
        <f>Допущения!$B$28*Допущения!$B$29+Допущения!$B$30*Допущения!$B$31+Допущения!$B$32*Допущения!$B$33</f>
        <v/>
      </c>
    </row>
    <row r="15">
      <c r="A15" s="11" t="inlineStr">
        <is>
          <t>Подытог</t>
        </is>
      </c>
      <c r="B15" s="12">
        <f>SUM(B3:B14)</f>
        <v/>
      </c>
    </row>
    <row r="16">
      <c r="A16" s="11" t="inlineStr">
        <is>
          <t>Резерв</t>
        </is>
      </c>
      <c r="B16" s="12">
        <f>B15*Допущения!$B$22</f>
        <v/>
      </c>
    </row>
    <row r="17">
      <c r="A17" s="13" t="inlineStr">
        <is>
          <t>ИТОГО CAPEX</t>
        </is>
      </c>
      <c r="B17" s="14">
        <f>B15+B16</f>
        <v/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 ht="26" customHeight="1">
      <c r="A1" s="1" t="inlineStr">
        <is>
          <t>ГОДОВОЙ P&amp;L: ВЫРУЧКА − OPEX = EBITDA</t>
        </is>
      </c>
    </row>
    <row r="2">
      <c r="A2" s="3" t="inlineStr">
        <is>
          <t>ВЫРУЧКА</t>
        </is>
      </c>
      <c r="B2" s="4" t="n"/>
    </row>
    <row r="3">
      <c r="A3" t="inlineStr">
        <is>
          <t>Молоко (сырое)</t>
        </is>
      </c>
      <c r="B3" s="10">
        <f>Допущения!$B$24*Допущения!$B$35*(1-Допущения!$B$37)*Допущения!$B$36</f>
        <v/>
      </c>
    </row>
    <row r="4">
      <c r="A4" t="inlineStr">
        <is>
          <t>Сыр/творог (переработка)</t>
        </is>
      </c>
      <c r="B4" s="10">
        <f>Допущения!$B$24*Допущения!$B$35*Допущения!$B$37*Допущения!$B$38*Допущения!$B$39</f>
        <v/>
      </c>
    </row>
    <row r="5">
      <c r="A5" t="inlineStr">
        <is>
          <t>Мясо</t>
        </is>
      </c>
      <c r="B5" s="10">
        <f>Допущения!$B$40*Допущения!$B$41</f>
        <v/>
      </c>
    </row>
    <row r="6">
      <c r="A6" t="inlineStr">
        <is>
          <t>Яйца</t>
        </is>
      </c>
      <c r="B6" s="10">
        <f>Допущения!$B$32*Допущения!$B$42*Допущения!$B$43</f>
        <v/>
      </c>
    </row>
    <row r="7">
      <c r="A7" t="inlineStr">
        <is>
          <t>Овощи/огород</t>
        </is>
      </c>
      <c r="B7" s="10">
        <f>Допущения!$B$44</f>
        <v/>
      </c>
    </row>
    <row r="8">
      <c r="A8" s="11" t="inlineStr">
        <is>
          <t>ИТОГО выручка</t>
        </is>
      </c>
      <c r="B8" s="12">
        <f>SUM(B3:B7)</f>
        <v/>
      </c>
    </row>
    <row r="10">
      <c r="A10" s="3" t="inlineStr">
        <is>
          <t>OPEX</t>
        </is>
      </c>
      <c r="B10" s="4" t="n"/>
    </row>
    <row r="11">
      <c r="A11" t="inlineStr">
        <is>
          <t>Корма (за вычетом своих полей)</t>
        </is>
      </c>
      <c r="B11" s="10">
        <f>MAX(0,Допущения!$B$24*Допущения!$B$46-Допущения!$B$11*Допущения!$B$47)</f>
        <v/>
      </c>
    </row>
    <row r="12">
      <c r="A12" t="inlineStr">
        <is>
          <t>Корм прочим животным</t>
        </is>
      </c>
      <c r="B12" s="10">
        <f>Допущения!$B$49</f>
        <v/>
      </c>
    </row>
    <row r="13">
      <c r="A13" t="inlineStr">
        <is>
          <t>Ветеринария/осеменение</t>
        </is>
      </c>
      <c r="B13" s="10">
        <f>Допущения!$B$24*Допущения!$B$48</f>
        <v/>
      </c>
    </row>
    <row r="14">
      <c r="A14" t="inlineStr">
        <is>
          <t>ГСМ</t>
        </is>
      </c>
      <c r="B14" s="10">
        <f>Допущения!$B$50</f>
        <v/>
      </c>
    </row>
    <row r="15">
      <c r="A15" t="inlineStr">
        <is>
          <t>Электричество</t>
        </is>
      </c>
      <c r="B15" s="10">
        <f>Допущения!$B$51</f>
        <v/>
      </c>
    </row>
    <row r="16">
      <c r="A16" t="inlineStr">
        <is>
          <t>Ремонт/прочее</t>
        </is>
      </c>
      <c r="B16" s="10">
        <f>Допущения!$B$52</f>
        <v/>
      </c>
    </row>
    <row r="17">
      <c r="A17" t="inlineStr">
        <is>
          <t>Наёмный труд</t>
        </is>
      </c>
      <c r="B17" s="10">
        <f>Допущения!$B$53</f>
        <v/>
      </c>
    </row>
    <row r="18">
      <c r="A18" s="11" t="inlineStr">
        <is>
          <t>ИТОГО OPEX</t>
        </is>
      </c>
      <c r="B18" s="12">
        <f>SUM(B11:B17)</f>
        <v/>
      </c>
    </row>
    <row r="19">
      <c r="A19" s="13" t="inlineStr">
        <is>
          <t>EBITDA (выручка − OPEX)</t>
        </is>
      </c>
      <c r="B19" s="14">
        <f>'P&amp;L'!$B$8-'P&amp;L'!$B$18</f>
        <v/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 ht="26" customHeight="1">
      <c r="A1" s="1" t="inlineStr">
        <is>
          <t>ЮНИТ-ЭКОНОМИКА</t>
        </is>
      </c>
    </row>
    <row r="2">
      <c r="A2" s="2" t="inlineStr">
        <is>
          <t>Показатель</t>
        </is>
      </c>
      <c r="B2" s="2" t="inlineStr">
        <is>
          <t>Значение</t>
        </is>
      </c>
    </row>
    <row r="3">
      <c r="A3" t="inlineStr">
        <is>
          <t>Выручка с 1 коровы (молоко), ₽/год</t>
        </is>
      </c>
      <c r="B3" s="10">
        <f>Допущения!$B$35*Допущения!$B$36</f>
        <v/>
      </c>
    </row>
    <row r="4">
      <c r="A4" t="inlineStr">
        <is>
          <t>Прямые затраты на 1 корову, ₽/год</t>
        </is>
      </c>
      <c r="B4" s="10">
        <f>Допущения!$B$46+Допущения!$B$48</f>
        <v/>
      </c>
    </row>
    <row r="5">
      <c r="A5" t="inlineStr">
        <is>
          <t>Маржа на 1 корову, ₽/год</t>
        </is>
      </c>
      <c r="B5" s="10">
        <f>Допущения!$B$35*Допущения!$B$36-(Допущения!$B$46+Допущения!$B$48)</f>
        <v/>
      </c>
    </row>
    <row r="6">
      <c r="A6" t="inlineStr">
        <is>
          <t>Эффект 1 га кормовых, ₽/год</t>
        </is>
      </c>
      <c r="B6" s="10">
        <f>Допущения!$B$47</f>
        <v/>
      </c>
    </row>
    <row r="7">
      <c r="A7" t="inlineStr">
        <is>
          <t>Безубыточное стадо vs пост. затраты, голов</t>
        </is>
      </c>
      <c r="B7" s="15">
        <f>(Допущения!$B$49+Допущения!$B$50+Допущения!$B$51+Допущения!$B$52+Допущения!$B$53)/(Допущения!$B$35*Допущения!$B$36-Допущения!$B$46-Допущения!$B$48)</f>
        <v/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22" customWidth="1" min="6" max="6"/>
    <col width="14" customWidth="1" min="7" max="7"/>
  </cols>
  <sheetData>
    <row r="1" ht="26" customHeight="1">
      <c r="A1" s="1" t="inlineStr">
        <is>
          <t>ДЕНЕЖНЫЙ ПОТОК — БАЗОВЫЙ ПРОГНОЗ (формулы)</t>
        </is>
      </c>
    </row>
    <row r="2">
      <c r="A2" s="2" t="inlineStr">
        <is>
          <t>Год</t>
        </is>
      </c>
      <c r="B2" s="2" t="inlineStr">
        <is>
          <t>Свои средства (100%)</t>
        </is>
      </c>
      <c r="C2" s="2" t="inlineStr">
        <is>
          <t>Грант КФХ + свои</t>
        </is>
      </c>
      <c r="D2" s="2" t="inlineStr">
        <is>
          <t>Льготный кредит</t>
        </is>
      </c>
    </row>
    <row r="3">
      <c r="A3" t="n">
        <v>0</v>
      </c>
      <c r="B3" s="10">
        <f>-CAPEX!$B$17</f>
        <v/>
      </c>
      <c r="C3" s="10">
        <f>-MAX(CAPEX!$B$17-Допущения!$B$55,CAPEX!$B$17*Допущения!$B$56)</f>
        <v/>
      </c>
      <c r="D3" s="10">
        <f>-CAPEX!$B$17*(1-Допущения!$B$57)</f>
        <v/>
      </c>
      <c r="F3" s="11" t="inlineStr">
        <is>
          <t>Платёж по кредиту, ₽/год:</t>
        </is>
      </c>
      <c r="G3" s="10">
        <f>CAPEX!$B$17*Допущения!$B$57*Допущения!$B$58/(1-(1+Допущения!$B$58)^-Допущения!$B$59)</f>
        <v/>
      </c>
    </row>
    <row r="4">
      <c r="A4" t="n">
        <v>1</v>
      </c>
      <c r="B4" s="10">
        <f>('P&amp;L'!$B$19*(1+Допущения!$B$6)^0)*(1-Допущения!$B$7)</f>
        <v/>
      </c>
      <c r="C4" s="10">
        <f>('P&amp;L'!$B$19*(1+Допущения!$B$6)^0)*(1-Допущения!$B$7)</f>
        <v/>
      </c>
      <c r="D4" s="10">
        <f>('P&amp;L'!$B$19*(1+Допущения!$B$6)^0)*(1-Допущения!$B$7)-IF(1&lt;=Допущения!$B$59,$G3,0)</f>
        <v/>
      </c>
    </row>
    <row r="5">
      <c r="A5" t="n">
        <v>2</v>
      </c>
      <c r="B5" s="10">
        <f>('P&amp;L'!$B$19*(1+Допущения!$B$6)^1)*(1-Допущения!$B$7)</f>
        <v/>
      </c>
      <c r="C5" s="10">
        <f>('P&amp;L'!$B$19*(1+Допущения!$B$6)^1)*(1-Допущения!$B$7)</f>
        <v/>
      </c>
      <c r="D5" s="10">
        <f>('P&amp;L'!$B$19*(1+Допущения!$B$6)^1)*(1-Допущения!$B$7)-IF(2&lt;=Допущения!$B$59,$G3,0)</f>
        <v/>
      </c>
    </row>
    <row r="6">
      <c r="A6" t="n">
        <v>3</v>
      </c>
      <c r="B6" s="10">
        <f>('P&amp;L'!$B$19*(1+Допущения!$B$6)^2)*(1-Допущения!$B$7)</f>
        <v/>
      </c>
      <c r="C6" s="10">
        <f>('P&amp;L'!$B$19*(1+Допущения!$B$6)^2)*(1-Допущения!$B$7)</f>
        <v/>
      </c>
      <c r="D6" s="10">
        <f>('P&amp;L'!$B$19*(1+Допущения!$B$6)^2)*(1-Допущения!$B$7)-IF(3&lt;=Допущения!$B$59,$G3,0)</f>
        <v/>
      </c>
    </row>
    <row r="7">
      <c r="A7" t="n">
        <v>4</v>
      </c>
      <c r="B7" s="10">
        <f>('P&amp;L'!$B$19*(1+Допущения!$B$6)^3)*(1-Допущения!$B$7)</f>
        <v/>
      </c>
      <c r="C7" s="10">
        <f>('P&amp;L'!$B$19*(1+Допущения!$B$6)^3)*(1-Допущения!$B$7)</f>
        <v/>
      </c>
      <c r="D7" s="10">
        <f>('P&amp;L'!$B$19*(1+Допущения!$B$6)^3)*(1-Допущения!$B$7)-IF(4&lt;=Допущения!$B$59,$G3,0)</f>
        <v/>
      </c>
    </row>
    <row r="8">
      <c r="A8" t="n">
        <v>5</v>
      </c>
      <c r="B8" s="10">
        <f>('P&amp;L'!$B$19*(1+Допущения!$B$6)^4)*(1-Допущения!$B$7)</f>
        <v/>
      </c>
      <c r="C8" s="10">
        <f>('P&amp;L'!$B$19*(1+Допущения!$B$6)^4)*(1-Допущения!$B$7)</f>
        <v/>
      </c>
      <c r="D8" s="10">
        <f>('P&amp;L'!$B$19*(1+Допущения!$B$6)^4)*(1-Допущения!$B$7)-IF(5&lt;=Допущения!$B$59,$G3,0)</f>
        <v/>
      </c>
    </row>
    <row r="9">
      <c r="A9" t="n">
        <v>6</v>
      </c>
      <c r="B9" s="10">
        <f>('P&amp;L'!$B$19*(1+Допущения!$B$6)^5)*(1-Допущения!$B$7)</f>
        <v/>
      </c>
      <c r="C9" s="10">
        <f>('P&amp;L'!$B$19*(1+Допущения!$B$6)^5)*(1-Допущения!$B$7)</f>
        <v/>
      </c>
      <c r="D9" s="10">
        <f>('P&amp;L'!$B$19*(1+Допущения!$B$6)^5)*(1-Допущения!$B$7)-IF(6&lt;=Допущения!$B$59,$G3,0)</f>
        <v/>
      </c>
    </row>
    <row r="10">
      <c r="A10" t="n">
        <v>7</v>
      </c>
      <c r="B10" s="10">
        <f>('P&amp;L'!$B$19*(1+Допущения!$B$6)^6)*(1-Допущения!$B$7)</f>
        <v/>
      </c>
      <c r="C10" s="10">
        <f>('P&amp;L'!$B$19*(1+Допущения!$B$6)^6)*(1-Допущения!$B$7)</f>
        <v/>
      </c>
      <c r="D10" s="10">
        <f>('P&amp;L'!$B$19*(1+Допущения!$B$6)^6)*(1-Допущения!$B$7)-IF(7&lt;=Допущения!$B$59,$G3,0)</f>
        <v/>
      </c>
    </row>
    <row r="11">
      <c r="A11" t="n">
        <v>8</v>
      </c>
      <c r="B11" s="10">
        <f>('P&amp;L'!$B$19*(1+Допущения!$B$6)^7)*(1-Допущения!$B$7)</f>
        <v/>
      </c>
      <c r="C11" s="10">
        <f>('P&amp;L'!$B$19*(1+Допущения!$B$6)^7)*(1-Допущения!$B$7)</f>
        <v/>
      </c>
      <c r="D11" s="10">
        <f>('P&amp;L'!$B$19*(1+Допущения!$B$6)^7)*(1-Допущения!$B$7)-IF(8&lt;=Допущения!$B$59,$G3,0)</f>
        <v/>
      </c>
    </row>
    <row r="12">
      <c r="A12" t="n">
        <v>9</v>
      </c>
      <c r="B12" s="10">
        <f>('P&amp;L'!$B$19*(1+Допущения!$B$6)^8)*(1-Допущения!$B$7)</f>
        <v/>
      </c>
      <c r="C12" s="10">
        <f>('P&amp;L'!$B$19*(1+Допущения!$B$6)^8)*(1-Допущения!$B$7)</f>
        <v/>
      </c>
      <c r="D12" s="10">
        <f>('P&amp;L'!$B$19*(1+Допущения!$B$6)^8)*(1-Допущения!$B$7)-IF(9&lt;=Допущения!$B$59,$G3,0)</f>
        <v/>
      </c>
    </row>
    <row r="13">
      <c r="A13" t="n">
        <v>10</v>
      </c>
      <c r="B13" s="10">
        <f>('P&amp;L'!$B$19*(1+Допущения!$B$6)^9)*(1-Допущения!$B$7)</f>
        <v/>
      </c>
      <c r="C13" s="10">
        <f>('P&amp;L'!$B$19*(1+Допущения!$B$6)^9)*(1-Допущения!$B$7)</f>
        <v/>
      </c>
      <c r="D13" s="10">
        <f>('P&amp;L'!$B$19*(1+Допущения!$B$6)^9)*(1-Допущения!$B$7)-IF(10&lt;=Допущения!$B$59,$G3,0)</f>
        <v/>
      </c>
    </row>
    <row r="15">
      <c r="A15" s="11" t="inlineStr">
        <is>
          <t>NPV</t>
        </is>
      </c>
      <c r="B15" s="12">
        <f>B3+NPV(Допущения!$B$5,B4:B13)</f>
        <v/>
      </c>
      <c r="C15" s="12">
        <f>C3+NPV(Допущения!$B$5,C4:C13)</f>
        <v/>
      </c>
      <c r="D15" s="12">
        <f>D3+NPV(Допущения!$B$5,D4:D13)</f>
        <v/>
      </c>
    </row>
    <row r="16">
      <c r="A16" s="11" t="inlineStr">
        <is>
          <t>IRR</t>
        </is>
      </c>
      <c r="B16" s="16">
        <f>IFERROR(IRR(B3:B13),"—")</f>
        <v/>
      </c>
      <c r="C16" s="16">
        <f>IFERROR(IRR(C3:C13),"—")</f>
        <v/>
      </c>
      <c r="D16" s="16">
        <f>IFERROR(IRR(D3:D13),"—")</f>
        <v/>
      </c>
    </row>
    <row r="17">
      <c r="A17" s="11" t="inlineStr">
        <is>
          <t>Свои вложения (год 0), ₽</t>
        </is>
      </c>
      <c r="B17" s="12">
        <f>-B3</f>
        <v/>
      </c>
      <c r="C17" s="12">
        <f>-C3</f>
        <v/>
      </c>
      <c r="D17" s="12">
        <f>-D3</f>
        <v/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7" customWidth="1" min="4" max="4"/>
  </cols>
  <sheetData>
    <row r="1" ht="26" customHeight="1">
      <c r="A1" s="1" t="inlineStr">
        <is>
          <t>ПРОГНОЗЫ: ПЕССИМИСТИЧНЫЙ / БАЗОВЫЙ / ОПТИМИСТИЧНЫЙ</t>
        </is>
      </c>
    </row>
    <row r="2">
      <c r="A2" s="3" t="inlineStr">
        <is>
          <t>Множители сценариев</t>
        </is>
      </c>
      <c r="B2" s="4" t="n"/>
      <c r="C2" s="4" t="n"/>
      <c r="D2" s="4" t="n"/>
      <c r="E2" s="4" t="n"/>
    </row>
    <row r="3">
      <c r="A3" s="2" t="inlineStr">
        <is>
          <t>Драйвер</t>
        </is>
      </c>
      <c r="B3" s="2" t="inlineStr">
        <is>
          <t>Пессимистичный</t>
        </is>
      </c>
      <c r="C3" s="2" t="inlineStr">
        <is>
          <t>Базовый</t>
        </is>
      </c>
      <c r="D3" s="2" t="inlineStr">
        <is>
          <t>Оптимистичный</t>
        </is>
      </c>
    </row>
    <row r="4">
      <c r="A4" t="inlineStr">
        <is>
          <t>Цена молока</t>
        </is>
      </c>
      <c r="B4" s="17" t="n">
        <v>0.8</v>
      </c>
      <c r="C4" s="17" t="n">
        <v>1</v>
      </c>
      <c r="D4" s="17" t="n">
        <v>1.2</v>
      </c>
    </row>
    <row r="5">
      <c r="A5" t="inlineStr">
        <is>
          <t>Надой</t>
        </is>
      </c>
      <c r="B5" s="17" t="n">
        <v>0.85</v>
      </c>
      <c r="C5" s="17" t="n">
        <v>1</v>
      </c>
      <c r="D5" s="17" t="n">
        <v>1.15</v>
      </c>
    </row>
    <row r="6">
      <c r="A6" t="inlineStr">
        <is>
          <t>Стоимость кормов</t>
        </is>
      </c>
      <c r="B6" s="17" t="n">
        <v>1.2</v>
      </c>
      <c r="C6" s="17" t="n">
        <v>1</v>
      </c>
      <c r="D6" s="17" t="n">
        <v>0.85</v>
      </c>
    </row>
    <row r="7">
      <c r="A7" t="inlineStr">
        <is>
          <t>CAPEX</t>
        </is>
      </c>
      <c r="B7" s="17" t="n">
        <v>1.15</v>
      </c>
      <c r="C7" s="17" t="n">
        <v>1</v>
      </c>
      <c r="D7" s="17" t="n">
        <v>0.9</v>
      </c>
    </row>
    <row r="8">
      <c r="A8" t="inlineStr">
        <is>
          <t>Выручка овощи</t>
        </is>
      </c>
      <c r="B8" s="17" t="n">
        <v>0.7</v>
      </c>
      <c r="C8" s="17" t="n">
        <v>1</v>
      </c>
      <c r="D8" s="17" t="n">
        <v>1.3</v>
      </c>
    </row>
    <row r="9">
      <c r="A9" t="inlineStr">
        <is>
          <t>Цена мяса</t>
        </is>
      </c>
      <c r="B9" s="17" t="n">
        <v>0.85</v>
      </c>
      <c r="C9" s="17" t="n">
        <v>1</v>
      </c>
      <c r="D9" s="17" t="n">
        <v>1.15</v>
      </c>
    </row>
    <row r="10">
      <c r="A10" t="inlineStr">
        <is>
          <t>Δ ставки дисконт.</t>
        </is>
      </c>
      <c r="B10" s="18" t="n">
        <v>0.04</v>
      </c>
      <c r="C10" s="18" t="n">
        <v>0</v>
      </c>
      <c r="D10" s="18" t="n">
        <v>-0.03</v>
      </c>
    </row>
    <row r="12">
      <c r="A12" s="2" t="inlineStr">
        <is>
          <t>Показатель</t>
        </is>
      </c>
      <c r="B12" s="2" t="inlineStr">
        <is>
          <t>Пессимистичный</t>
        </is>
      </c>
      <c r="C12" s="2" t="inlineStr">
        <is>
          <t>Базовый</t>
        </is>
      </c>
      <c r="D12" s="2" t="inlineStr">
        <is>
          <t>Оптимистичный</t>
        </is>
      </c>
    </row>
    <row r="13">
      <c r="A13" t="inlineStr">
        <is>
          <t>CAPEX, ₽</t>
        </is>
      </c>
      <c r="B13" s="10" t="n">
        <v>14016200</v>
      </c>
      <c r="C13" s="10" t="n">
        <v>12188000</v>
      </c>
      <c r="D13" s="10" t="n">
        <v>10969200</v>
      </c>
    </row>
    <row r="14">
      <c r="A14" t="inlineStr">
        <is>
          <t>Выручка, ₽/год</t>
        </is>
      </c>
      <c r="B14" s="10" t="n">
        <v>1475425</v>
      </c>
      <c r="C14" s="10" t="n">
        <v>1880800</v>
      </c>
      <c r="D14" s="10" t="n">
        <v>2320825</v>
      </c>
    </row>
    <row r="15">
      <c r="A15" t="inlineStr">
        <is>
          <t>OPEX, ₽/год</t>
        </is>
      </c>
      <c r="B15" s="10" t="n">
        <v>590000</v>
      </c>
      <c r="C15" s="10" t="n">
        <v>530000</v>
      </c>
      <c r="D15" s="10" t="n">
        <v>485000</v>
      </c>
    </row>
    <row r="16">
      <c r="A16" t="inlineStr">
        <is>
          <t>EBITDA, ₽/год</t>
        </is>
      </c>
      <c r="B16" s="10" t="n">
        <v>885425</v>
      </c>
      <c r="C16" s="10" t="n">
        <v>1350800</v>
      </c>
      <c r="D16" s="10" t="n">
        <v>1835825</v>
      </c>
    </row>
    <row r="17">
      <c r="A17" s="3" t="inlineStr">
        <is>
          <t>Свои средства (100%)</t>
        </is>
      </c>
      <c r="B17" s="4" t="n"/>
      <c r="C17" s="4" t="n"/>
      <c r="D17" s="4" t="n"/>
    </row>
    <row r="18">
      <c r="A18" t="inlineStr">
        <is>
          <t xml:space="preserve">   Окупаемость, лет</t>
        </is>
      </c>
      <c r="B18" t="inlineStr">
        <is>
          <t>—</t>
        </is>
      </c>
      <c r="C18" s="15" t="n">
        <v>7.801318763899445</v>
      </c>
      <c r="D18" s="15" t="n">
        <v>5.537558404210031</v>
      </c>
    </row>
    <row r="19">
      <c r="A19" t="inlineStr">
        <is>
          <t xml:space="preserve">   NPV, ₽</t>
        </is>
      </c>
      <c r="B19" s="19" t="n">
        <v>-10089651</v>
      </c>
      <c r="C19" s="19" t="n">
        <v>-5227297</v>
      </c>
      <c r="D19" s="19" t="n">
        <v>-282862</v>
      </c>
    </row>
    <row r="20">
      <c r="A20" t="inlineStr">
        <is>
          <t xml:space="preserve">   IRR</t>
        </is>
      </c>
      <c r="B20" s="20" t="n">
        <v>-0.03912912168307234</v>
      </c>
      <c r="C20" s="20" t="n">
        <v>0.05667617013095876</v>
      </c>
      <c r="D20" s="20" t="n">
        <v>0.143830360006541</v>
      </c>
    </row>
    <row r="21">
      <c r="A21" s="3" t="inlineStr">
        <is>
          <t>Грант КФХ + свои</t>
        </is>
      </c>
      <c r="B21" s="4" t="n"/>
      <c r="C21" s="4" t="n"/>
      <c r="D21" s="4" t="n"/>
    </row>
    <row r="22">
      <c r="A22" t="inlineStr">
        <is>
          <t xml:space="preserve">   Окупаемость, лет</t>
        </is>
      </c>
      <c r="B22" s="15" t="n">
        <v>8.586888660294909</v>
      </c>
      <c r="C22" s="15" t="n">
        <v>5.017825847182428</v>
      </c>
      <c r="D22" s="15" t="n">
        <v>3.23127418328836</v>
      </c>
    </row>
    <row r="23">
      <c r="A23" t="inlineStr">
        <is>
          <t xml:space="preserve">   NPV, ₽</t>
        </is>
      </c>
      <c r="B23" s="19" t="n">
        <v>-5089651</v>
      </c>
      <c r="C23" s="19" t="n">
        <v>-227297</v>
      </c>
      <c r="D23" s="21" t="n">
        <v>4717138</v>
      </c>
    </row>
    <row r="24">
      <c r="A24" t="inlineStr">
        <is>
          <t xml:space="preserve">   IRR</t>
        </is>
      </c>
      <c r="B24" s="20" t="n">
        <v>0.03415604104520749</v>
      </c>
      <c r="C24" s="20" t="n">
        <v>0.171889394603204</v>
      </c>
      <c r="D24" s="20" t="n">
        <v>0.3158202343387528</v>
      </c>
    </row>
    <row r="25">
      <c r="A25" s="3" t="inlineStr">
        <is>
          <t>Льготный кредит</t>
        </is>
      </c>
      <c r="B25" s="4" t="n"/>
      <c r="C25" s="4" t="n"/>
      <c r="D25" s="4" t="n"/>
    </row>
    <row r="26">
      <c r="A26" t="inlineStr">
        <is>
          <t xml:space="preserve">   Окупаемость, лет</t>
        </is>
      </c>
      <c r="B26" t="inlineStr">
        <is>
          <t>—</t>
        </is>
      </c>
      <c r="C26" s="15" t="n">
        <v>8.570437985447365</v>
      </c>
      <c r="D26" s="15" t="n">
        <v>5.296070097291329</v>
      </c>
    </row>
    <row r="27">
      <c r="A27" t="inlineStr">
        <is>
          <t xml:space="preserve">   NPV, ₽</t>
        </is>
      </c>
      <c r="B27" s="19" t="n">
        <v>-6643912</v>
      </c>
      <c r="C27" s="19" t="n">
        <v>-2731494</v>
      </c>
      <c r="D27" s="21" t="n">
        <v>1566526</v>
      </c>
    </row>
    <row r="28">
      <c r="A28" t="inlineStr">
        <is>
          <t xml:space="preserve">   IRR</t>
        </is>
      </c>
      <c r="B28" s="20" t="n">
        <v>-0.09933069404796699</v>
      </c>
      <c r="C28" s="20" t="n">
        <v>0.06131838420405981</v>
      </c>
      <c r="D28" s="20" t="n">
        <v>0.213216390472371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6" customHeight="1">
      <c r="A1" s="1" t="inlineStr">
        <is>
          <t>ЧУВСТВИТЕЛЬНОСТЬ NPV (схема «Грант КФХ», базовый прогноз)</t>
        </is>
      </c>
    </row>
    <row r="2">
      <c r="A2" t="inlineStr">
        <is>
          <t>Строки — цена молока, столбцы — стоимость кормов. Значения: NPV, ₽.</t>
        </is>
      </c>
    </row>
    <row r="4">
      <c r="A4" s="2" t="inlineStr">
        <is>
          <t>Молоко \ Корма</t>
        </is>
      </c>
      <c r="B4" s="2" t="inlineStr">
        <is>
          <t>-20%</t>
        </is>
      </c>
      <c r="C4" s="2" t="inlineStr">
        <is>
          <t>-10%</t>
        </is>
      </c>
      <c r="D4" s="2" t="inlineStr">
        <is>
          <t>+0%</t>
        </is>
      </c>
      <c r="E4" s="2" t="inlineStr">
        <is>
          <t>+10%</t>
        </is>
      </c>
      <c r="F4" s="2" t="inlineStr">
        <is>
          <t>+20%</t>
        </is>
      </c>
    </row>
    <row r="5">
      <c r="A5" s="3" t="inlineStr">
        <is>
          <t>-20%</t>
        </is>
      </c>
      <c r="B5" s="19" t="n">
        <v>-513290</v>
      </c>
      <c r="C5" s="19" t="n">
        <v>-667881</v>
      </c>
      <c r="D5" s="19" t="n">
        <v>-822471</v>
      </c>
      <c r="E5" s="19" t="n">
        <v>-977062</v>
      </c>
      <c r="F5" s="19" t="n">
        <v>-1131653</v>
      </c>
    </row>
    <row r="6">
      <c r="A6" s="3" t="inlineStr">
        <is>
          <t>-10%</t>
        </is>
      </c>
      <c r="B6" s="19" t="n">
        <v>-215703</v>
      </c>
      <c r="C6" s="19" t="n">
        <v>-370294</v>
      </c>
      <c r="D6" s="19" t="n">
        <v>-524884</v>
      </c>
      <c r="E6" s="19" t="n">
        <v>-679475</v>
      </c>
      <c r="F6" s="19" t="n">
        <v>-834066</v>
      </c>
    </row>
    <row r="7">
      <c r="A7" s="3" t="inlineStr">
        <is>
          <t>+0%</t>
        </is>
      </c>
      <c r="B7" s="21" t="n">
        <v>81884</v>
      </c>
      <c r="C7" s="19" t="n">
        <v>-72707</v>
      </c>
      <c r="D7" s="19" t="n">
        <v>-227297</v>
      </c>
      <c r="E7" s="19" t="n">
        <v>-381888</v>
      </c>
      <c r="F7" s="19" t="n">
        <v>-536479</v>
      </c>
    </row>
    <row r="8">
      <c r="A8" s="3" t="inlineStr">
        <is>
          <t>+10%</t>
        </is>
      </c>
      <c r="B8" s="21" t="n">
        <v>379471</v>
      </c>
      <c r="C8" s="21" t="n">
        <v>224880</v>
      </c>
      <c r="D8" s="21" t="n">
        <v>70290</v>
      </c>
      <c r="E8" s="19" t="n">
        <v>-84301</v>
      </c>
      <c r="F8" s="19" t="n">
        <v>-238892</v>
      </c>
    </row>
    <row r="9">
      <c r="A9" s="3" t="inlineStr">
        <is>
          <t>+20%</t>
        </is>
      </c>
      <c r="B9" s="21" t="n">
        <v>677058</v>
      </c>
      <c r="C9" s="21" t="n">
        <v>522467</v>
      </c>
      <c r="D9" s="21" t="n">
        <v>367877</v>
      </c>
      <c r="E9" s="21" t="n">
        <v>213286</v>
      </c>
      <c r="F9" s="21" t="n">
        <v>58695</v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2" customWidth="1" min="1" max="1"/>
    <col width="40" customWidth="1" min="2" max="2"/>
  </cols>
  <sheetData>
    <row r="1" ht="26" customHeight="1">
      <c r="A1" s="1" t="inlineStr">
        <is>
          <t>ИСТОЧНИКИ ДАННЫХ (Томск, 2026)</t>
        </is>
      </c>
    </row>
    <row r="2">
      <c r="A2" s="2" t="inlineStr">
        <is>
          <t>Параметр</t>
        </is>
      </c>
      <c r="B2" s="2" t="inlineStr">
        <is>
          <t>Источник</t>
        </is>
      </c>
    </row>
    <row r="3">
      <c r="A3" t="inlineStr">
        <is>
          <t>Участки ИЖС Томский р-н (100–300 тыс/сотка)</t>
        </is>
      </c>
      <c r="B3" t="inlineStr">
        <is>
          <t>tomsk.cian.ru / tomsk.sibdom.ru / m2.ru</t>
        </is>
      </c>
    </row>
    <row r="4">
      <c r="A4" t="inlineStr">
        <is>
          <t>Сельхозземля (до ~600 тыс/га)</t>
        </is>
      </c>
      <c r="B4" t="inlineStr">
        <is>
          <t>tomsk.move.ru / tomsk.cian.ru</t>
        </is>
      </c>
    </row>
    <row r="5">
      <c r="A5" t="inlineStr">
        <is>
          <t>Строительство дома (Томск)</t>
        </is>
      </c>
      <c r="B5" t="inlineStr">
        <is>
          <t>dom-stroy70.ru / tomsk.kamprok.ru</t>
        </is>
      </c>
    </row>
    <row r="6">
      <c r="A6" t="inlineStr">
        <is>
          <t>Закупочная цена молока (выс. сорт ~40 ₽/л, КФХ меньше)</t>
        </is>
      </c>
      <c r="B6" t="inlineStr">
        <is>
          <t>vtomske.ru / souzmoloko.ru</t>
        </is>
      </c>
    </row>
    <row r="7">
      <c r="A7" t="inlineStr">
        <is>
          <t>Цена КРС (дойная 40–53 тыс ₽)</t>
        </is>
      </c>
      <c r="B7" t="inlineStr">
        <is>
          <t>sobut.ru / agroserver.ru</t>
        </is>
      </c>
    </row>
    <row r="8">
      <c r="A8" t="inlineStr">
        <is>
          <t>Грант «Агростартап» Томск (3–6 млн, до 7 на КРС)</t>
        </is>
      </c>
      <c r="B8" t="inlineStr">
        <is>
          <t>svetich.info / svoefermerstvo.ru</t>
        </is>
      </c>
    </row>
    <row r="9">
      <c r="A9" t="inlineStr">
        <is>
          <t>Льготный кредит АПК (ставка до 5%, срок до 7 лет)</t>
        </is>
      </c>
      <c r="B9" t="inlineStr">
        <is>
          <t>rshb.ru / svoefermerstvo.ru</t>
        </is>
      </c>
    </row>
    <row r="11">
      <c r="A11" t="inlineStr">
        <is>
          <t>Цены ориентировочные (диапазоны рынка). Перед решением проверьте по конкретному участку.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2026-06-30T14:52:20Z</dcterms:created>
  <dcterms:modified xsi:type="dcterms:W3CDTF">2026-06-30T14:52:20Z</dcterms:modified>
</cp:coreProperties>
</file>